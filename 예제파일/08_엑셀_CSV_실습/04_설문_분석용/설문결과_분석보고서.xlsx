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문결과_대시보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점&quot;"/>
    <numFmt numFmtId="166" formatCode="0&quot;점&quot;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3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166" fontId="1" fillId="2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연령대별 응답자 비중</a:t>
            </a:r>
          </a:p>
        </rich>
      </tx>
    </title>
    <plotArea>
      <doughnutChart>
        <varyColors val="1"/>
        <ser>
          <idx val="0"/>
          <order val="0"/>
          <tx>
            <strRef>
              <f>'설문결과_대시보드'!C2</f>
            </strRef>
          </tx>
          <spPr>
            <a:ln>
              <a:prstDash val="solid"/>
            </a:ln>
          </spPr>
          <cat>
            <numRef>
              <f>'설문결과_대시보드'!$B$3:$B$6</f>
            </numRef>
          </cat>
          <val>
            <numRef>
              <f>'설문결과_대시보드'!$C$3:$C$6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전체 추천의향 비중</a:t>
            </a:r>
          </a:p>
        </rich>
      </tx>
    </title>
    <plotArea>
      <pieChart>
        <varyColors val="1"/>
        <ser>
          <idx val="0"/>
          <order val="0"/>
          <tx>
            <strRef>
              <f>'설문결과_대시보드'!C9</f>
            </strRef>
          </tx>
          <spPr>
            <a:ln>
              <a:prstDash val="solid"/>
            </a:ln>
          </spPr>
          <cat>
            <numRef>
              <f>'설문결과_대시보드'!$B$10:$B$11</f>
            </numRef>
          </cat>
          <val>
            <numRef>
              <f>'설문결과_대시보드'!$C$10:$C$11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연령대별 평균 만족도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'설문결과_대시보드'!C14</f>
            </strRef>
          </tx>
          <spPr>
            <a:ln>
              <a:prstDash val="solid"/>
            </a:ln>
          </spPr>
          <cat>
            <numRef>
              <f>'설문결과_대시보드'!$B$15:$B$18</f>
            </numRef>
          </cat>
          <val>
            <numRef>
              <f>'설문결과_대시보드'!$C$15:$C$18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연령대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평균 만족도 (점)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연령대별 만족도 점수 분포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'설문결과_대시보드'!C21</f>
            </strRef>
          </tx>
          <spPr>
            <a:ln>
              <a:prstDash val="solid"/>
            </a:ln>
          </spPr>
          <cat>
            <numRef>
              <f>'설문결과_대시보드'!$B$22:$B$25</f>
            </numRef>
          </cat>
          <val>
            <numRef>
              <f>'설문결과_대시보드'!$C$22:$C$25</f>
            </numRef>
          </val>
        </ser>
        <ser>
          <idx val="1"/>
          <order val="1"/>
          <tx>
            <strRef>
              <f>'설문결과_대시보드'!D21</f>
            </strRef>
          </tx>
          <spPr>
            <a:ln>
              <a:prstDash val="solid"/>
            </a:ln>
          </spPr>
          <cat>
            <numRef>
              <f>'설문결과_대시보드'!$B$22:$B$25</f>
            </numRef>
          </cat>
          <val>
            <numRef>
              <f>'설문결과_대시보드'!$D$22:$D$25</f>
            </numRef>
          </val>
        </ser>
        <ser>
          <idx val="2"/>
          <order val="2"/>
          <tx>
            <strRef>
              <f>'설문결과_대시보드'!E21</f>
            </strRef>
          </tx>
          <spPr>
            <a:ln>
              <a:prstDash val="solid"/>
            </a:ln>
          </spPr>
          <cat>
            <numRef>
              <f>'설문결과_대시보드'!$B$22:$B$25</f>
            </numRef>
          </cat>
          <val>
            <numRef>
              <f>'설문결과_대시보드'!$E$22:$E$25</f>
            </numRef>
          </val>
        </ser>
        <ser>
          <idx val="3"/>
          <order val="3"/>
          <tx>
            <strRef>
              <f>'설문결과_대시보드'!F21</f>
            </strRef>
          </tx>
          <spPr>
            <a:ln>
              <a:prstDash val="solid"/>
            </a:ln>
          </spPr>
          <cat>
            <numRef>
              <f>'설문결과_대시보드'!$B$22:$B$25</f>
            </numRef>
          </cat>
          <val>
            <numRef>
              <f>'설문결과_대시보드'!$F$22:$F$25</f>
            </numRef>
          </val>
        </ser>
        <ser>
          <idx val="4"/>
          <order val="4"/>
          <tx>
            <strRef>
              <f>'설문결과_대시보드'!G21</f>
            </strRef>
          </tx>
          <spPr>
            <a:ln>
              <a:prstDash val="solid"/>
            </a:ln>
          </spPr>
          <cat>
            <numRef>
              <f>'설문결과_대시보드'!$B$22:$B$25</f>
            </numRef>
          </cat>
          <val>
            <numRef>
              <f>'설문결과_대시보드'!$G$22:$G$25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연령대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응답자 수 (명)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연령대별 추천율 비교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'설문결과_대시보드'!F28</f>
            </strRef>
          </tx>
          <spPr>
            <a:ln>
              <a:prstDash val="solid"/>
            </a:ln>
          </spPr>
          <cat>
            <numRef>
              <f>'설문결과_대시보드'!$B$29:$B$32</f>
            </numRef>
          </cat>
          <val>
            <numRef>
              <f>'설문결과_대시보드'!$F$29:$F$32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추천율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연령대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5</row>
      <rowOff>0</rowOff>
    </from>
    <ext cx="39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22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13</row>
      <rowOff>0</rowOff>
    </from>
    <ext cx="43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42</row>
      <rowOff>0</rowOff>
    </from>
    <ext cx="540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62</row>
      <rowOff>0</rowOff>
    </from>
    <ext cx="540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5" customWidth="1" min="7" max="7"/>
    <col width="18" customWidth="1" min="8" max="8"/>
    <col width="12" customWidth="1" min="9" max="9"/>
    <col width="12" customWidth="1" min="10" max="10"/>
    <col width="12" customWidth="1" min="11" max="11"/>
    <col width="4" customWidth="1" min="12" max="12"/>
  </cols>
  <sheetData>
    <row r="1"/>
    <row r="2">
      <c r="B2" s="1" t="inlineStr">
        <is>
          <t>연령대</t>
        </is>
      </c>
      <c r="C2" s="1" t="inlineStr">
        <is>
          <t>응답자 수</t>
        </is>
      </c>
      <c r="D2" s="1" t="inlineStr">
        <is>
          <t>비율</t>
        </is>
      </c>
      <c r="F2" s="1" t="inlineStr">
        <is>
          <t>핵심 분석 지표</t>
        </is>
      </c>
      <c r="G2" s="1" t="inlineStr">
        <is>
          <t>수치</t>
        </is>
      </c>
      <c r="H2" s="1" t="inlineStr">
        <is>
          <t>응답번호</t>
        </is>
      </c>
      <c r="I2" s="1" t="inlineStr">
        <is>
          <t>연령대</t>
        </is>
      </c>
      <c r="J2" s="1" t="inlineStr">
        <is>
          <t>만족도(1-5)</t>
        </is>
      </c>
      <c r="K2" s="1" t="inlineStr">
        <is>
          <t>추천의향</t>
        </is>
      </c>
    </row>
    <row r="3">
      <c r="B3" s="2" t="inlineStr">
        <is>
          <t>20대</t>
        </is>
      </c>
      <c r="C3" s="3">
        <f>COUNTIF($I$3:$I$42, B3)</f>
        <v/>
      </c>
      <c r="D3" s="4">
        <f>C3/C$7</f>
        <v/>
      </c>
      <c r="F3" s="2" t="inlineStr">
        <is>
          <t>전체 평균 만족도</t>
        </is>
      </c>
      <c r="G3" s="5">
        <f>AVERAGE($J$3:$J$42)</f>
        <v/>
      </c>
      <c r="H3" s="6" t="n">
        <v>1</v>
      </c>
      <c r="I3" s="6" t="inlineStr">
        <is>
          <t>20대</t>
        </is>
      </c>
      <c r="J3" s="3" t="n">
        <v>5</v>
      </c>
      <c r="K3" s="6" t="inlineStr">
        <is>
          <t>아니오</t>
        </is>
      </c>
    </row>
    <row r="4">
      <c r="B4" s="7" t="inlineStr">
        <is>
          <t>30대</t>
        </is>
      </c>
      <c r="C4" s="8">
        <f>COUNTIF($I$3:$I$42, B4)</f>
        <v/>
      </c>
      <c r="D4" s="9">
        <f>C4/C$7</f>
        <v/>
      </c>
      <c r="F4" s="7" t="inlineStr">
        <is>
          <t>전체 추천율</t>
        </is>
      </c>
      <c r="G4" s="10">
        <f>D10</f>
        <v/>
      </c>
      <c r="H4" s="11" t="n">
        <v>2</v>
      </c>
      <c r="I4" s="11" t="inlineStr">
        <is>
          <t>50대</t>
        </is>
      </c>
      <c r="J4" s="8" t="n">
        <v>2</v>
      </c>
      <c r="K4" s="11" t="inlineStr">
        <is>
          <t>아니오</t>
        </is>
      </c>
    </row>
    <row r="5">
      <c r="B5" s="2" t="inlineStr">
        <is>
          <t>40대</t>
        </is>
      </c>
      <c r="C5" s="3">
        <f>COUNTIF($I$3:$I$42, B5)</f>
        <v/>
      </c>
      <c r="D5" s="4">
        <f>C5/C$7</f>
        <v/>
      </c>
      <c r="H5" s="6" t="n">
        <v>3</v>
      </c>
      <c r="I5" s="6" t="inlineStr">
        <is>
          <t>40대</t>
        </is>
      </c>
      <c r="J5" s="3" t="n">
        <v>5</v>
      </c>
      <c r="K5" s="6" t="inlineStr">
        <is>
          <t>아니오</t>
        </is>
      </c>
    </row>
    <row r="6">
      <c r="B6" s="7" t="inlineStr">
        <is>
          <t>50대</t>
        </is>
      </c>
      <c r="C6" s="8">
        <f>COUNTIF($I$3:$I$42, B6)</f>
        <v/>
      </c>
      <c r="D6" s="9">
        <f>C6/C$7</f>
        <v/>
      </c>
      <c r="H6" s="11" t="n">
        <v>4</v>
      </c>
      <c r="I6" s="11" t="inlineStr">
        <is>
          <t>40대</t>
        </is>
      </c>
      <c r="J6" s="8" t="n">
        <v>5</v>
      </c>
      <c r="K6" s="11" t="inlineStr">
        <is>
          <t>예</t>
        </is>
      </c>
    </row>
    <row r="7">
      <c r="B7" s="12" t="inlineStr">
        <is>
          <t>합계</t>
        </is>
      </c>
      <c r="C7" s="13">
        <f>SUM(C3:C6)</f>
        <v/>
      </c>
      <c r="D7" s="14">
        <f>SUM(D3:D6)</f>
        <v/>
      </c>
      <c r="H7" s="6" t="n">
        <v>5</v>
      </c>
      <c r="I7" s="6" t="inlineStr">
        <is>
          <t>50대</t>
        </is>
      </c>
      <c r="J7" s="3" t="n">
        <v>3</v>
      </c>
      <c r="K7" s="6" t="inlineStr">
        <is>
          <t>예</t>
        </is>
      </c>
    </row>
    <row r="8">
      <c r="H8" s="11" t="n">
        <v>6</v>
      </c>
      <c r="I8" s="11" t="inlineStr">
        <is>
          <t>30대</t>
        </is>
      </c>
      <c r="J8" s="8" t="n">
        <v>1</v>
      </c>
      <c r="K8" s="11" t="inlineStr">
        <is>
          <t>예</t>
        </is>
      </c>
    </row>
    <row r="9">
      <c r="B9" s="1" t="inlineStr">
        <is>
          <t>추천 여부</t>
        </is>
      </c>
      <c r="C9" s="1" t="inlineStr">
        <is>
          <t>응답자 수</t>
        </is>
      </c>
      <c r="D9" s="1" t="inlineStr">
        <is>
          <t>비율</t>
        </is>
      </c>
      <c r="H9" s="6" t="n">
        <v>7</v>
      </c>
      <c r="I9" s="6" t="inlineStr">
        <is>
          <t>30대</t>
        </is>
      </c>
      <c r="J9" s="3" t="n">
        <v>2</v>
      </c>
      <c r="K9" s="6" t="inlineStr">
        <is>
          <t>예</t>
        </is>
      </c>
    </row>
    <row r="10">
      <c r="B10" s="7" t="inlineStr">
        <is>
          <t>예</t>
        </is>
      </c>
      <c r="C10" s="8">
        <f>COUNTIF($K$3:$K$42, B10)</f>
        <v/>
      </c>
      <c r="D10" s="9">
        <f>C10/C$12</f>
        <v/>
      </c>
      <c r="H10" s="11" t="n">
        <v>8</v>
      </c>
      <c r="I10" s="11" t="inlineStr">
        <is>
          <t>30대</t>
        </is>
      </c>
      <c r="J10" s="8" t="n">
        <v>3</v>
      </c>
      <c r="K10" s="11" t="inlineStr">
        <is>
          <t>예</t>
        </is>
      </c>
    </row>
    <row r="11">
      <c r="B11" s="2" t="inlineStr">
        <is>
          <t>아니오</t>
        </is>
      </c>
      <c r="C11" s="3">
        <f>COUNTIF($K$3:$K$42, B11)</f>
        <v/>
      </c>
      <c r="D11" s="4">
        <f>C11/C$12</f>
        <v/>
      </c>
      <c r="H11" s="6" t="n">
        <v>9</v>
      </c>
      <c r="I11" s="6" t="inlineStr">
        <is>
          <t>40대</t>
        </is>
      </c>
      <c r="J11" s="3" t="n">
        <v>2</v>
      </c>
      <c r="K11" s="6" t="inlineStr">
        <is>
          <t>아니오</t>
        </is>
      </c>
    </row>
    <row r="12">
      <c r="B12" s="12" t="inlineStr">
        <is>
          <t>합계</t>
        </is>
      </c>
      <c r="C12" s="13">
        <f>SUM(C10:C11)</f>
        <v/>
      </c>
      <c r="D12" s="14">
        <f>SUM(D10:D11)</f>
        <v/>
      </c>
      <c r="H12" s="11" t="n">
        <v>10</v>
      </c>
      <c r="I12" s="11" t="inlineStr">
        <is>
          <t>50대</t>
        </is>
      </c>
      <c r="J12" s="8" t="n">
        <v>4</v>
      </c>
      <c r="K12" s="11" t="inlineStr">
        <is>
          <t>예</t>
        </is>
      </c>
    </row>
    <row r="13">
      <c r="H13" s="6" t="n">
        <v>11</v>
      </c>
      <c r="I13" s="6" t="inlineStr">
        <is>
          <t>40대</t>
        </is>
      </c>
      <c r="J13" s="3" t="n">
        <v>4</v>
      </c>
      <c r="K13" s="6" t="inlineStr">
        <is>
          <t>아니오</t>
        </is>
      </c>
    </row>
    <row r="14">
      <c r="B14" s="1" t="inlineStr">
        <is>
          <t>연령대</t>
        </is>
      </c>
      <c r="C14" s="1" t="inlineStr">
        <is>
          <t>평균 만족도</t>
        </is>
      </c>
      <c r="H14" s="11" t="n">
        <v>12</v>
      </c>
      <c r="I14" s="11" t="inlineStr">
        <is>
          <t>20대</t>
        </is>
      </c>
      <c r="J14" s="8" t="n">
        <v>2</v>
      </c>
      <c r="K14" s="11" t="inlineStr">
        <is>
          <t>아니오</t>
        </is>
      </c>
    </row>
    <row r="15">
      <c r="B15" s="2" t="inlineStr">
        <is>
          <t>20대</t>
        </is>
      </c>
      <c r="C15" s="15">
        <f>AVERAGEIF($I$3:$I$42, B15, $J$3:$J$42)</f>
        <v/>
      </c>
      <c r="H15" s="6" t="n">
        <v>13</v>
      </c>
      <c r="I15" s="6" t="inlineStr">
        <is>
          <t>30대</t>
        </is>
      </c>
      <c r="J15" s="3" t="n">
        <v>2</v>
      </c>
      <c r="K15" s="6" t="inlineStr">
        <is>
          <t>아니오</t>
        </is>
      </c>
    </row>
    <row r="16">
      <c r="B16" s="7" t="inlineStr">
        <is>
          <t>30대</t>
        </is>
      </c>
      <c r="C16" s="16">
        <f>AVERAGEIF($I$3:$I$42, B16, $J$3:$J$42)</f>
        <v/>
      </c>
      <c r="H16" s="11" t="n">
        <v>14</v>
      </c>
      <c r="I16" s="11" t="inlineStr">
        <is>
          <t>20대</t>
        </is>
      </c>
      <c r="J16" s="8" t="n">
        <v>1</v>
      </c>
      <c r="K16" s="11" t="inlineStr">
        <is>
          <t>아니오</t>
        </is>
      </c>
    </row>
    <row r="17">
      <c r="B17" s="2" t="inlineStr">
        <is>
          <t>40대</t>
        </is>
      </c>
      <c r="C17" s="15">
        <f>AVERAGEIF($I$3:$I$42, B17, $J$3:$J$42)</f>
        <v/>
      </c>
      <c r="H17" s="6" t="n">
        <v>15</v>
      </c>
      <c r="I17" s="6" t="inlineStr">
        <is>
          <t>20대</t>
        </is>
      </c>
      <c r="J17" s="3" t="n">
        <v>3</v>
      </c>
      <c r="K17" s="6" t="inlineStr">
        <is>
          <t>아니오</t>
        </is>
      </c>
    </row>
    <row r="18">
      <c r="B18" s="7" t="inlineStr">
        <is>
          <t>50대</t>
        </is>
      </c>
      <c r="C18" s="16">
        <f>AVERAGEIF($I$3:$I$42, B18, $J$3:$J$42)</f>
        <v/>
      </c>
      <c r="H18" s="11" t="n">
        <v>16</v>
      </c>
      <c r="I18" s="11" t="inlineStr">
        <is>
          <t>20대</t>
        </is>
      </c>
      <c r="J18" s="8" t="n">
        <v>4</v>
      </c>
      <c r="K18" s="11" t="inlineStr">
        <is>
          <t>아니오</t>
        </is>
      </c>
    </row>
    <row r="19">
      <c r="B19" s="12" t="inlineStr">
        <is>
          <t>전체 평균</t>
        </is>
      </c>
      <c r="C19" s="17">
        <f>AVERAGE(C15:C18)</f>
        <v/>
      </c>
      <c r="H19" s="6" t="n">
        <v>17</v>
      </c>
      <c r="I19" s="6" t="inlineStr">
        <is>
          <t>30대</t>
        </is>
      </c>
      <c r="J19" s="3" t="n">
        <v>5</v>
      </c>
      <c r="K19" s="6" t="inlineStr">
        <is>
          <t>아니오</t>
        </is>
      </c>
    </row>
    <row r="20">
      <c r="H20" s="11" t="n">
        <v>18</v>
      </c>
      <c r="I20" s="11" t="inlineStr">
        <is>
          <t>50대</t>
        </is>
      </c>
      <c r="J20" s="8" t="n">
        <v>4</v>
      </c>
      <c r="K20" s="11" t="inlineStr">
        <is>
          <t>예</t>
        </is>
      </c>
    </row>
    <row r="21">
      <c r="B21" s="1" t="inlineStr">
        <is>
          <t>연령대 / 만족도</t>
        </is>
      </c>
      <c r="C21" s="18" t="n">
        <v>1</v>
      </c>
      <c r="D21" s="18" t="n">
        <v>2</v>
      </c>
      <c r="E21" s="18" t="n">
        <v>3</v>
      </c>
      <c r="F21" s="18" t="n">
        <v>4</v>
      </c>
      <c r="G21" s="18" t="n">
        <v>5</v>
      </c>
      <c r="H21" s="1" t="inlineStr">
        <is>
          <t>합계</t>
        </is>
      </c>
      <c r="I21" s="6" t="inlineStr">
        <is>
          <t>30대</t>
        </is>
      </c>
      <c r="J21" s="3" t="n">
        <v>1</v>
      </c>
      <c r="K21" s="6" t="inlineStr">
        <is>
          <t>예</t>
        </is>
      </c>
    </row>
    <row r="22">
      <c r="B22" s="7" t="inlineStr">
        <is>
          <t>20대</t>
        </is>
      </c>
      <c r="C22" s="8">
        <f>COUNTIFS($I$3:$I$42, $B22, $J$3:$J$42, C$21)</f>
        <v/>
      </c>
      <c r="D22" s="8">
        <f>COUNTIFS($I$3:$I$42, $B22, $J$3:$J$42, D$21)</f>
        <v/>
      </c>
      <c r="E22" s="8">
        <f>COUNTIFS($I$3:$I$42, $B22, $J$3:$J$42, E$21)</f>
        <v/>
      </c>
      <c r="F22" s="8">
        <f>COUNTIFS($I$3:$I$42, $B22, $J$3:$J$42, F$21)</f>
        <v/>
      </c>
      <c r="G22" s="8">
        <f>COUNTIFS($I$3:$I$42, $B22, $J$3:$J$42, G$21)</f>
        <v/>
      </c>
      <c r="H22" s="19">
        <f>SUM(C22:G22)</f>
        <v/>
      </c>
      <c r="I22" s="11" t="inlineStr">
        <is>
          <t>30대</t>
        </is>
      </c>
      <c r="J22" s="8" t="n">
        <v>3</v>
      </c>
      <c r="K22" s="11" t="inlineStr">
        <is>
          <t>아니오</t>
        </is>
      </c>
    </row>
    <row r="23">
      <c r="B23" s="2" t="inlineStr">
        <is>
          <t>30대</t>
        </is>
      </c>
      <c r="C23" s="3">
        <f>COUNTIFS($I$3:$I$42, $B23, $J$3:$J$42, C$21)</f>
        <v/>
      </c>
      <c r="D23" s="3">
        <f>COUNTIFS($I$3:$I$42, $B23, $J$3:$J$42, D$21)</f>
        <v/>
      </c>
      <c r="E23" s="3">
        <f>COUNTIFS($I$3:$I$42, $B23, $J$3:$J$42, E$21)</f>
        <v/>
      </c>
      <c r="F23" s="3">
        <f>COUNTIFS($I$3:$I$42, $B23, $J$3:$J$42, F$21)</f>
        <v/>
      </c>
      <c r="G23" s="3">
        <f>COUNTIFS($I$3:$I$42, $B23, $J$3:$J$42, G$21)</f>
        <v/>
      </c>
      <c r="H23" s="20">
        <f>SUM(C23:G23)</f>
        <v/>
      </c>
      <c r="I23" s="6" t="inlineStr">
        <is>
          <t>50대</t>
        </is>
      </c>
      <c r="J23" s="3" t="n">
        <v>2</v>
      </c>
      <c r="K23" s="6" t="inlineStr">
        <is>
          <t>아니오</t>
        </is>
      </c>
    </row>
    <row r="24">
      <c r="B24" s="7" t="inlineStr">
        <is>
          <t>40대</t>
        </is>
      </c>
      <c r="C24" s="8">
        <f>COUNTIFS($I$3:$I$42, $B24, $J$3:$J$42, C$21)</f>
        <v/>
      </c>
      <c r="D24" s="8">
        <f>COUNTIFS($I$3:$I$42, $B24, $J$3:$J$42, D$21)</f>
        <v/>
      </c>
      <c r="E24" s="8">
        <f>COUNTIFS($I$3:$I$42, $B24, $J$3:$J$42, E$21)</f>
        <v/>
      </c>
      <c r="F24" s="8">
        <f>COUNTIFS($I$3:$I$42, $B24, $J$3:$J$42, F$21)</f>
        <v/>
      </c>
      <c r="G24" s="8">
        <f>COUNTIFS($I$3:$I$42, $B24, $J$3:$J$42, G$21)</f>
        <v/>
      </c>
      <c r="H24" s="19">
        <f>SUM(C24:G24)</f>
        <v/>
      </c>
      <c r="I24" s="11" t="inlineStr">
        <is>
          <t>20대</t>
        </is>
      </c>
      <c r="J24" s="8" t="n">
        <v>4</v>
      </c>
      <c r="K24" s="11" t="inlineStr">
        <is>
          <t>예</t>
        </is>
      </c>
    </row>
    <row r="25">
      <c r="B25" s="2" t="inlineStr">
        <is>
          <t>50대</t>
        </is>
      </c>
      <c r="C25" s="3">
        <f>COUNTIFS($I$3:$I$42, $B25, $J$3:$J$42, C$21)</f>
        <v/>
      </c>
      <c r="D25" s="3">
        <f>COUNTIFS($I$3:$I$42, $B25, $J$3:$J$42, D$21)</f>
        <v/>
      </c>
      <c r="E25" s="3">
        <f>COUNTIFS($I$3:$I$42, $B25, $J$3:$J$42, E$21)</f>
        <v/>
      </c>
      <c r="F25" s="3">
        <f>COUNTIFS($I$3:$I$42, $B25, $J$3:$J$42, F$21)</f>
        <v/>
      </c>
      <c r="G25" s="3">
        <f>COUNTIFS($I$3:$I$42, $B25, $J$3:$J$42, G$21)</f>
        <v/>
      </c>
      <c r="H25" s="20">
        <f>SUM(C25:G25)</f>
        <v/>
      </c>
      <c r="I25" s="6" t="inlineStr">
        <is>
          <t>50대</t>
        </is>
      </c>
      <c r="J25" s="3" t="n">
        <v>5</v>
      </c>
      <c r="K25" s="6" t="inlineStr">
        <is>
          <t>예</t>
        </is>
      </c>
    </row>
    <row r="26">
      <c r="B26" s="12" t="inlineStr">
        <is>
          <t>합계</t>
        </is>
      </c>
      <c r="C26" s="13">
        <f>SUM(C22:C25)</f>
        <v/>
      </c>
      <c r="D26" s="13">
        <f>SUM(D22:D25)</f>
        <v/>
      </c>
      <c r="E26" s="13">
        <f>SUM(E22:E25)</f>
        <v/>
      </c>
      <c r="F26" s="13">
        <f>SUM(F22:F25)</f>
        <v/>
      </c>
      <c r="G26" s="13">
        <f>SUM(G22:G25)</f>
        <v/>
      </c>
      <c r="H26" s="13">
        <f>SUM(H22:H25)</f>
        <v/>
      </c>
      <c r="I26" s="11" t="inlineStr">
        <is>
          <t>40대</t>
        </is>
      </c>
      <c r="J26" s="8" t="n">
        <v>5</v>
      </c>
      <c r="K26" s="11" t="inlineStr">
        <is>
          <t>아니오</t>
        </is>
      </c>
    </row>
    <row r="27">
      <c r="H27" s="6" t="n">
        <v>25</v>
      </c>
      <c r="I27" s="6" t="inlineStr">
        <is>
          <t>50대</t>
        </is>
      </c>
      <c r="J27" s="3" t="n">
        <v>1</v>
      </c>
      <c r="K27" s="6" t="inlineStr">
        <is>
          <t>예</t>
        </is>
      </c>
    </row>
    <row r="28">
      <c r="B28" s="1" t="inlineStr">
        <is>
          <t>연령대 / 추천 여부</t>
        </is>
      </c>
      <c r="C28" s="1" t="inlineStr">
        <is>
          <t>예</t>
        </is>
      </c>
      <c r="D28" s="1" t="inlineStr">
        <is>
          <t>아니오</t>
        </is>
      </c>
      <c r="E28" s="1" t="inlineStr">
        <is>
          <t>합계</t>
        </is>
      </c>
      <c r="F28" s="1" t="inlineStr">
        <is>
          <t>추천율</t>
        </is>
      </c>
      <c r="H28" s="11" t="n">
        <v>26</v>
      </c>
      <c r="I28" s="11" t="inlineStr">
        <is>
          <t>30대</t>
        </is>
      </c>
      <c r="J28" s="8" t="n">
        <v>2</v>
      </c>
      <c r="K28" s="11" t="inlineStr">
        <is>
          <t>예</t>
        </is>
      </c>
    </row>
    <row r="29">
      <c r="B29" s="2" t="inlineStr">
        <is>
          <t>20대</t>
        </is>
      </c>
      <c r="C29" s="3">
        <f>COUNTIFS($I$3:$I$42, $B29, $K$3:$K$42, C$28)</f>
        <v/>
      </c>
      <c r="D29" s="3">
        <f>COUNTIFS($I$3:$I$42, $B29, $K$3:$K$42, D$28)</f>
        <v/>
      </c>
      <c r="E29" s="20">
        <f>SUM(C29:D29)</f>
        <v/>
      </c>
      <c r="F29" s="21">
        <f>C29/E29</f>
        <v/>
      </c>
      <c r="H29" s="6" t="n">
        <v>27</v>
      </c>
      <c r="I29" s="6" t="inlineStr">
        <is>
          <t>20대</t>
        </is>
      </c>
      <c r="J29" s="3" t="n">
        <v>4</v>
      </c>
      <c r="K29" s="6" t="inlineStr">
        <is>
          <t>아니오</t>
        </is>
      </c>
    </row>
    <row r="30">
      <c r="B30" s="7" t="inlineStr">
        <is>
          <t>30대</t>
        </is>
      </c>
      <c r="C30" s="8">
        <f>COUNTIFS($I$3:$I$42, $B30, $K$3:$K$42, C$28)</f>
        <v/>
      </c>
      <c r="D30" s="8">
        <f>COUNTIFS($I$3:$I$42, $B30, $K$3:$K$42, D$28)</f>
        <v/>
      </c>
      <c r="E30" s="19">
        <f>SUM(C30:D30)</f>
        <v/>
      </c>
      <c r="F30" s="10">
        <f>C30/E30</f>
        <v/>
      </c>
      <c r="H30" s="11" t="n">
        <v>28</v>
      </c>
      <c r="I30" s="11" t="inlineStr">
        <is>
          <t>40대</t>
        </is>
      </c>
      <c r="J30" s="8" t="n">
        <v>2</v>
      </c>
      <c r="K30" s="11" t="inlineStr">
        <is>
          <t>아니오</t>
        </is>
      </c>
    </row>
    <row r="31">
      <c r="B31" s="2" t="inlineStr">
        <is>
          <t>40대</t>
        </is>
      </c>
      <c r="C31" s="3">
        <f>COUNTIFS($I$3:$I$42, $B31, $K$3:$K$42, C$28)</f>
        <v/>
      </c>
      <c r="D31" s="3">
        <f>COUNTIFS($I$3:$I$42, $B31, $K$3:$K$42, D$28)</f>
        <v/>
      </c>
      <c r="E31" s="20">
        <f>SUM(C31:D31)</f>
        <v/>
      </c>
      <c r="F31" s="21">
        <f>C31/E31</f>
        <v/>
      </c>
      <c r="H31" s="6" t="n">
        <v>29</v>
      </c>
      <c r="I31" s="6" t="inlineStr">
        <is>
          <t>20대</t>
        </is>
      </c>
      <c r="J31" s="3" t="n">
        <v>1</v>
      </c>
      <c r="K31" s="6" t="inlineStr">
        <is>
          <t>예</t>
        </is>
      </c>
    </row>
    <row r="32">
      <c r="B32" s="7" t="inlineStr">
        <is>
          <t>50대</t>
        </is>
      </c>
      <c r="C32" s="8">
        <f>COUNTIFS($I$3:$I$42, $B32, $K$3:$K$42, C$28)</f>
        <v/>
      </c>
      <c r="D32" s="8">
        <f>COUNTIFS($I$3:$I$42, $B32, $K$3:$K$42, D$28)</f>
        <v/>
      </c>
      <c r="E32" s="19">
        <f>SUM(C32:D32)</f>
        <v/>
      </c>
      <c r="F32" s="10">
        <f>C32/E32</f>
        <v/>
      </c>
      <c r="H32" s="11" t="n">
        <v>30</v>
      </c>
      <c r="I32" s="11" t="inlineStr">
        <is>
          <t>30대</t>
        </is>
      </c>
      <c r="J32" s="8" t="n">
        <v>2</v>
      </c>
      <c r="K32" s="11" t="inlineStr">
        <is>
          <t>아니오</t>
        </is>
      </c>
    </row>
    <row r="33">
      <c r="B33" s="12" t="inlineStr">
        <is>
          <t>합계/전체</t>
        </is>
      </c>
      <c r="C33" s="13">
        <f>SUM(C29:C32)</f>
        <v/>
      </c>
      <c r="D33" s="13">
        <f>SUM(D29:D32)</f>
        <v/>
      </c>
      <c r="E33" s="13">
        <f>SUM(E29:E32)</f>
        <v/>
      </c>
      <c r="F33" s="14">
        <f>C33/E33</f>
        <v/>
      </c>
      <c r="H33" s="6" t="n">
        <v>31</v>
      </c>
      <c r="I33" s="6" t="inlineStr">
        <is>
          <t>20대</t>
        </is>
      </c>
      <c r="J33" s="3" t="n">
        <v>1</v>
      </c>
      <c r="K33" s="6" t="inlineStr">
        <is>
          <t>아니오</t>
        </is>
      </c>
    </row>
    <row r="34">
      <c r="H34" s="11" t="n">
        <v>32</v>
      </c>
      <c r="I34" s="11" t="inlineStr">
        <is>
          <t>50대</t>
        </is>
      </c>
      <c r="J34" s="8" t="n">
        <v>4</v>
      </c>
      <c r="K34" s="11" t="inlineStr">
        <is>
          <t>예</t>
        </is>
      </c>
    </row>
    <row r="35">
      <c r="H35" s="6" t="n">
        <v>33</v>
      </c>
      <c r="I35" s="6" t="inlineStr">
        <is>
          <t>50대</t>
        </is>
      </c>
      <c r="J35" s="3" t="n">
        <v>3</v>
      </c>
      <c r="K35" s="6" t="inlineStr">
        <is>
          <t>아니오</t>
        </is>
      </c>
    </row>
    <row r="36">
      <c r="H36" s="11" t="n">
        <v>34</v>
      </c>
      <c r="I36" s="11" t="inlineStr">
        <is>
          <t>50대</t>
        </is>
      </c>
      <c r="J36" s="8" t="n">
        <v>2</v>
      </c>
      <c r="K36" s="11" t="inlineStr">
        <is>
          <t>예</t>
        </is>
      </c>
    </row>
    <row r="37">
      <c r="H37" s="6" t="n">
        <v>35</v>
      </c>
      <c r="I37" s="6" t="inlineStr">
        <is>
          <t>20대</t>
        </is>
      </c>
      <c r="J37" s="3" t="n">
        <v>3</v>
      </c>
      <c r="K37" s="6" t="inlineStr">
        <is>
          <t>예</t>
        </is>
      </c>
    </row>
    <row r="38">
      <c r="H38" s="11" t="n">
        <v>36</v>
      </c>
      <c r="I38" s="11" t="inlineStr">
        <is>
          <t>20대</t>
        </is>
      </c>
      <c r="J38" s="8" t="n">
        <v>3</v>
      </c>
      <c r="K38" s="11" t="inlineStr">
        <is>
          <t>아니오</t>
        </is>
      </c>
    </row>
    <row r="39">
      <c r="H39" s="6" t="n">
        <v>37</v>
      </c>
      <c r="I39" s="6" t="inlineStr">
        <is>
          <t>20대</t>
        </is>
      </c>
      <c r="J39" s="3" t="n">
        <v>3</v>
      </c>
      <c r="K39" s="6" t="inlineStr">
        <is>
          <t>예</t>
        </is>
      </c>
    </row>
    <row r="40">
      <c r="H40" s="11" t="n">
        <v>38</v>
      </c>
      <c r="I40" s="11" t="inlineStr">
        <is>
          <t>50대</t>
        </is>
      </c>
      <c r="J40" s="8" t="n">
        <v>5</v>
      </c>
      <c r="K40" s="11" t="inlineStr">
        <is>
          <t>예</t>
        </is>
      </c>
    </row>
    <row r="41">
      <c r="H41" s="6" t="n">
        <v>39</v>
      </c>
      <c r="I41" s="6" t="inlineStr">
        <is>
          <t>50대</t>
        </is>
      </c>
      <c r="J41" s="3" t="n">
        <v>2</v>
      </c>
      <c r="K41" s="6" t="inlineStr">
        <is>
          <t>예</t>
        </is>
      </c>
    </row>
    <row r="42">
      <c r="H42" s="11" t="n">
        <v>40</v>
      </c>
      <c r="I42" s="11" t="inlineStr">
        <is>
          <t>40대</t>
        </is>
      </c>
      <c r="J42" s="8" t="n">
        <v>5</v>
      </c>
      <c r="K42" s="11" t="inlineStr">
        <is>
          <t>예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2026-06-17T03:27:57Z</dcterms:created>
  <dcterms:modified xsi:type="dcterms:W3CDTF">2026-06-17T03:27:57Z</dcterms:modified>
</cp:coreProperties>
</file>