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_담당자_종합현황" sheetId="1" state="visible" r:id="rId1"/>
    <sheet name="미등록_담당자_예외현황" sheetId="2" state="visible" r:id="rId2"/>
    <sheet name="참조_직원명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거래처별 월거래액 비교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'거래처_담당자_종합현황'!E2</f>
            </strRef>
          </tx>
          <spPr>
            <a:ln>
              <a:prstDash val="solid"/>
            </a:ln>
          </spPr>
          <cat>
            <numRef>
              <f>'거래처_담당자_종합현황'!$B$3:$B$10</f>
            </numRef>
          </cat>
          <val>
            <numRef>
              <f>'거래처_담당자_종합현황'!$E$3:$E$10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월거래액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거래처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부서별 거래처 관리 비중</a:t>
            </a:r>
          </a:p>
        </rich>
      </tx>
    </title>
    <plotArea>
      <pieChart>
        <varyColors val="1"/>
        <ser>
          <idx val="0"/>
          <order val="0"/>
          <tx>
            <strRef>
              <f>'거래처_담당자_종합현황'!C14</f>
            </strRef>
          </tx>
          <spPr>
            <a:ln>
              <a:prstDash val="solid"/>
            </a:ln>
          </spPr>
          <cat>
            <numRef>
              <f>'거래처_담당자_종합현황'!$B$15:$B$18</f>
            </numRef>
          </cat>
          <val>
            <numRef>
              <f>'거래처_담당자_종합현황'!$C$15:$C$18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</cols>
  <sheetData>
    <row r="1"/>
    <row r="2">
      <c r="B2" s="1" t="inlineStr">
        <is>
          <t>거래처명</t>
        </is>
      </c>
      <c r="C2" s="1" t="inlineStr">
        <is>
          <t>지역</t>
        </is>
      </c>
      <c r="D2" s="1" t="inlineStr">
        <is>
          <t>업종</t>
        </is>
      </c>
      <c r="E2" s="1" t="inlineStr">
        <is>
          <t>월거래액</t>
        </is>
      </c>
      <c r="F2" s="1" t="inlineStr">
        <is>
          <t>담당자명</t>
        </is>
      </c>
      <c r="G2" s="1" t="inlineStr">
        <is>
          <t>사번</t>
        </is>
      </c>
      <c r="H2" s="1" t="inlineStr">
        <is>
          <t>부서</t>
        </is>
      </c>
      <c r="I2" s="1" t="inlineStr">
        <is>
          <t>직급</t>
        </is>
      </c>
      <c r="J2" s="1" t="inlineStr">
        <is>
          <t>연락처</t>
        </is>
      </c>
    </row>
    <row r="3">
      <c r="B3" s="2" t="inlineStr">
        <is>
          <t>행복상사</t>
        </is>
      </c>
      <c r="C3" s="2" t="inlineStr">
        <is>
          <t>울산</t>
        </is>
      </c>
      <c r="D3" s="2" t="inlineStr">
        <is>
          <t>도소매</t>
        </is>
      </c>
      <c r="E3" s="3" t="n">
        <v>12000000</v>
      </c>
      <c r="F3" s="2" t="inlineStr">
        <is>
          <t>고은서</t>
        </is>
      </c>
      <c r="G3" s="2" t="inlineStr">
        <is>
          <t>E1018</t>
        </is>
      </c>
      <c r="H3" s="2" t="inlineStr">
        <is>
          <t>영업팀</t>
        </is>
      </c>
      <c r="I3" s="2" t="inlineStr">
        <is>
          <t>부장</t>
        </is>
      </c>
      <c r="J3" s="2" t="inlineStr">
        <is>
          <t>010-9495-7445</t>
        </is>
      </c>
    </row>
    <row r="4">
      <c r="B4" s="4" t="inlineStr">
        <is>
          <t>미래테크</t>
        </is>
      </c>
      <c r="C4" s="4" t="inlineStr">
        <is>
          <t>울산</t>
        </is>
      </c>
      <c r="D4" s="4" t="inlineStr">
        <is>
          <t>서비스</t>
        </is>
      </c>
      <c r="E4" s="5" t="n">
        <v>8900000</v>
      </c>
      <c r="F4" s="4" t="inlineStr">
        <is>
          <t>조유나</t>
        </is>
      </c>
      <c r="G4" s="4" t="inlineStr">
        <is>
          <t>E1009</t>
        </is>
      </c>
      <c r="H4" s="4" t="inlineStr">
        <is>
          <t>총무팀</t>
        </is>
      </c>
      <c r="I4" s="4" t="inlineStr">
        <is>
          <t>차장</t>
        </is>
      </c>
      <c r="J4" s="4" t="inlineStr">
        <is>
          <t>010-5867-8546</t>
        </is>
      </c>
    </row>
    <row r="5">
      <c r="B5" s="2" t="inlineStr">
        <is>
          <t>한빛유통</t>
        </is>
      </c>
      <c r="C5" s="2" t="inlineStr">
        <is>
          <t>강원</t>
        </is>
      </c>
      <c r="D5" s="2" t="inlineStr">
        <is>
          <t>도소매</t>
        </is>
      </c>
      <c r="E5" s="3" t="n">
        <v>1500000</v>
      </c>
      <c r="F5" s="2" t="inlineStr">
        <is>
          <t>노을찬</t>
        </is>
      </c>
      <c r="G5" s="2" t="inlineStr">
        <is>
          <t>E1027</t>
        </is>
      </c>
      <c r="H5" s="2" t="inlineStr">
        <is>
          <t>기획팀</t>
        </is>
      </c>
      <c r="I5" s="2" t="inlineStr">
        <is>
          <t>주임</t>
        </is>
      </c>
      <c r="J5" s="2" t="inlineStr">
        <is>
          <t>010-3094-6103</t>
        </is>
      </c>
    </row>
    <row r="6">
      <c r="B6" s="4" t="inlineStr">
        <is>
          <t>대성물산</t>
        </is>
      </c>
      <c r="C6" s="4" t="inlineStr">
        <is>
          <t>강원</t>
        </is>
      </c>
      <c r="D6" s="4" t="inlineStr">
        <is>
          <t>서비스</t>
        </is>
      </c>
      <c r="E6" s="5" t="n">
        <v>3200000</v>
      </c>
      <c r="F6" s="4" t="inlineStr">
        <is>
          <t>박지후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</row>
    <row r="7">
      <c r="B7" s="2" t="inlineStr">
        <is>
          <t>제일전자</t>
        </is>
      </c>
      <c r="C7" s="2" t="inlineStr">
        <is>
          <t>부산</t>
        </is>
      </c>
      <c r="D7" s="2" t="inlineStr">
        <is>
          <t>제조</t>
        </is>
      </c>
      <c r="E7" s="3" t="n">
        <v>5400000</v>
      </c>
      <c r="F7" s="2" t="inlineStr">
        <is>
          <t>신아윤</t>
        </is>
      </c>
      <c r="G7" s="2" t="inlineStr">
        <is>
          <t>E1019</t>
        </is>
      </c>
      <c r="H7" s="2" t="inlineStr">
        <is>
          <t>총무팀</t>
        </is>
      </c>
      <c r="I7" s="2" t="inlineStr">
        <is>
          <t>과장</t>
        </is>
      </c>
      <c r="J7" s="2" t="inlineStr">
        <is>
          <t>010-6858-9275</t>
        </is>
      </c>
    </row>
    <row r="8">
      <c r="B8" s="4" t="inlineStr">
        <is>
          <t>우리상회</t>
        </is>
      </c>
      <c r="C8" s="4" t="inlineStr">
        <is>
          <t>대구</t>
        </is>
      </c>
      <c r="D8" s="4" t="inlineStr">
        <is>
          <t>서비스</t>
        </is>
      </c>
      <c r="E8" s="5" t="n">
        <v>1500000</v>
      </c>
      <c r="F8" s="4" t="inlineStr">
        <is>
          <t>원지율</t>
        </is>
      </c>
      <c r="G8" s="4" t="inlineStr">
        <is>
          <t>E1023</t>
        </is>
      </c>
      <c r="H8" s="4" t="inlineStr">
        <is>
          <t>인사팀</t>
        </is>
      </c>
      <c r="I8" s="4" t="inlineStr">
        <is>
          <t>차장</t>
        </is>
      </c>
      <c r="J8" s="4" t="inlineStr">
        <is>
          <t>010-8158-6818</t>
        </is>
      </c>
    </row>
    <row r="9">
      <c r="B9" s="2" t="inlineStr">
        <is>
          <t>green마트</t>
        </is>
      </c>
      <c r="C9" s="2" t="inlineStr">
        <is>
          <t>부산</t>
        </is>
      </c>
      <c r="D9" s="2" t="inlineStr">
        <is>
          <t>서비스</t>
        </is>
      </c>
      <c r="E9" s="3" t="n">
        <v>12000000</v>
      </c>
      <c r="F9" s="2" t="inlineStr">
        <is>
          <t>고은서</t>
        </is>
      </c>
      <c r="G9" s="2" t="inlineStr">
        <is>
          <t>E1018</t>
        </is>
      </c>
      <c r="H9" s="2" t="inlineStr">
        <is>
          <t>영업팀</t>
        </is>
      </c>
      <c r="I9" s="2" t="inlineStr">
        <is>
          <t>부장</t>
        </is>
      </c>
      <c r="J9" s="2" t="inlineStr">
        <is>
          <t>010-9495-7445</t>
        </is>
      </c>
    </row>
    <row r="10">
      <c r="B10" s="4" t="inlineStr">
        <is>
          <t>파란문구</t>
        </is>
      </c>
      <c r="C10" s="4" t="inlineStr">
        <is>
          <t>울산</t>
        </is>
      </c>
      <c r="D10" s="4" t="inlineStr">
        <is>
          <t>도소매</t>
        </is>
      </c>
      <c r="E10" s="5" t="n">
        <v>3200000</v>
      </c>
      <c r="F10" s="4" t="inlineStr">
        <is>
          <t>권민준</t>
        </is>
      </c>
      <c r="G10" s="4" t="inlineStr">
        <is>
          <t>E1030</t>
        </is>
      </c>
      <c r="H10" s="4" t="inlineStr">
        <is>
          <t>기획팀</t>
        </is>
      </c>
      <c r="I10" s="4" t="inlineStr">
        <is>
          <t>사원</t>
        </is>
      </c>
      <c r="J10" s="4" t="inlineStr">
        <is>
          <t>010-5484-1140</t>
        </is>
      </c>
    </row>
    <row r="11">
      <c r="B11" s="6" t="inlineStr">
        <is>
          <t>합계</t>
        </is>
      </c>
      <c r="C11" s="6" t="n"/>
      <c r="D11" s="6" t="n"/>
      <c r="E11" s="7">
        <f>SUM(E3:E10)</f>
        <v/>
      </c>
      <c r="F11" s="6" t="n"/>
      <c r="G11" s="6" t="n"/>
      <c r="H11" s="6" t="n"/>
      <c r="I11" s="6" t="n"/>
      <c r="J11" s="6" t="n"/>
    </row>
    <row r="12"/>
    <row r="13"/>
    <row r="14">
      <c r="B14" s="1" t="inlineStr">
        <is>
          <t>부서</t>
        </is>
      </c>
      <c r="C14" s="1" t="inlineStr">
        <is>
          <t>담당 거래처 수</t>
        </is>
      </c>
      <c r="D14" s="1" t="inlineStr">
        <is>
          <t>합계 거래액</t>
        </is>
      </c>
    </row>
    <row r="15">
      <c r="B15" s="8" t="inlineStr">
        <is>
          <t>영업팀</t>
        </is>
      </c>
      <c r="C15" s="9">
        <f>COUNTIF(H$3:H$10, B15)</f>
        <v/>
      </c>
      <c r="D15" s="3">
        <f>SUMIF(H$3:H$10, B15, E$3:E$10)</f>
        <v/>
      </c>
    </row>
    <row r="16">
      <c r="B16" s="10" t="inlineStr">
        <is>
          <t>재무팀</t>
        </is>
      </c>
      <c r="C16" s="11">
        <f>COUNTIF(H$3:H$10, B16)</f>
        <v/>
      </c>
      <c r="D16" s="5">
        <f>SUMIF(H$3:H$10, B16, E$3:E$10)</f>
        <v/>
      </c>
    </row>
    <row r="17">
      <c r="B17" s="8" t="inlineStr">
        <is>
          <t>개발팀</t>
        </is>
      </c>
      <c r="C17" s="9">
        <f>COUNTIF(H$3:H$10, B17)</f>
        <v/>
      </c>
      <c r="D17" s="3">
        <f>SUMIF(H$3:H$10, B17, E$3:E$10)</f>
        <v/>
      </c>
    </row>
    <row r="18">
      <c r="B18" s="10" t="inlineStr">
        <is>
          <t>미등록</t>
        </is>
      </c>
      <c r="C18" s="11">
        <f>COUNTIF(H$3:H$10, "-")</f>
        <v/>
      </c>
      <c r="D18" s="5">
        <f>SUMIF(H$3:H$10, "-", E$3:E$10)</f>
        <v/>
      </c>
    </row>
    <row r="19">
      <c r="B19" s="6" t="inlineStr">
        <is>
          <t>합계</t>
        </is>
      </c>
      <c r="C19" s="12">
        <f>SUM(C15:C18)</f>
        <v/>
      </c>
      <c r="D19" s="7">
        <f>SUM(D15:D18)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/>
    <row r="2">
      <c r="B2" s="1" t="inlineStr">
        <is>
          <t>거래처명</t>
        </is>
      </c>
      <c r="C2" s="1" t="inlineStr">
        <is>
          <t>담당자명</t>
        </is>
      </c>
      <c r="D2" s="1" t="inlineStr">
        <is>
          <t>지역</t>
        </is>
      </c>
      <c r="E2" s="1" t="inlineStr">
        <is>
          <t>업종</t>
        </is>
      </c>
      <c r="F2" s="1" t="inlineStr">
        <is>
          <t>월거래액</t>
        </is>
      </c>
    </row>
    <row r="3">
      <c r="B3" s="2" t="inlineStr">
        <is>
          <t>대성물산</t>
        </is>
      </c>
      <c r="C3" s="2" t="inlineStr">
        <is>
          <t>박지후</t>
        </is>
      </c>
      <c r="D3" s="2" t="inlineStr">
        <is>
          <t>강원</t>
        </is>
      </c>
      <c r="E3" s="2" t="inlineStr">
        <is>
          <t>서비스</t>
        </is>
      </c>
      <c r="F3" s="3" t="n">
        <v>3200000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</cols>
  <sheetData>
    <row r="1"/>
    <row r="2">
      <c r="B2" s="1" t="inlineStr">
        <is>
          <t>사번</t>
        </is>
      </c>
      <c r="C2" s="1" t="inlineStr">
        <is>
          <t>이름</t>
        </is>
      </c>
      <c r="D2" s="1" t="inlineStr">
        <is>
          <t>부서</t>
        </is>
      </c>
      <c r="E2" s="1" t="inlineStr">
        <is>
          <t>직급</t>
        </is>
      </c>
      <c r="F2" s="1" t="inlineStr">
        <is>
          <t>입사일</t>
        </is>
      </c>
      <c r="G2" s="1" t="inlineStr">
        <is>
          <t>연락처</t>
        </is>
      </c>
    </row>
    <row r="3">
      <c r="B3" s="2" t="inlineStr">
        <is>
          <t>E1001</t>
        </is>
      </c>
      <c r="C3" s="2" t="inlineStr">
        <is>
          <t>홍지아</t>
        </is>
      </c>
      <c r="D3" s="2" t="inlineStr">
        <is>
          <t>재무팀</t>
        </is>
      </c>
      <c r="E3" s="2" t="inlineStr">
        <is>
          <t>차장</t>
        </is>
      </c>
      <c r="F3" s="2" t="inlineStr">
        <is>
          <t>2023-04-05</t>
        </is>
      </c>
      <c r="G3" s="2" t="inlineStr">
        <is>
          <t>010-3512-6919</t>
        </is>
      </c>
    </row>
    <row r="4">
      <c r="B4" s="4" t="inlineStr">
        <is>
          <t>E1002</t>
        </is>
      </c>
      <c r="C4" s="4" t="inlineStr">
        <is>
          <t>천보검</t>
        </is>
      </c>
      <c r="D4" s="4" t="inlineStr">
        <is>
          <t>영업팀</t>
        </is>
      </c>
      <c r="E4" s="4" t="inlineStr">
        <is>
          <t>부장</t>
        </is>
      </c>
      <c r="F4" s="4" t="inlineStr">
        <is>
          <t>2020-12-19</t>
        </is>
      </c>
      <c r="G4" s="4" t="inlineStr">
        <is>
          <t>010-8063-8625</t>
        </is>
      </c>
    </row>
    <row r="5">
      <c r="B5" s="2" t="inlineStr">
        <is>
          <t>E1003</t>
        </is>
      </c>
      <c r="C5" s="2" t="inlineStr">
        <is>
          <t>황채원</t>
        </is>
      </c>
      <c r="D5" s="2" t="inlineStr">
        <is>
          <t>개발팀</t>
        </is>
      </c>
      <c r="E5" s="2" t="inlineStr">
        <is>
          <t>주임</t>
        </is>
      </c>
      <c r="F5" s="2" t="inlineStr">
        <is>
          <t>2016-06-09</t>
        </is>
      </c>
      <c r="G5" s="2" t="inlineStr">
        <is>
          <t>010-9134-6783</t>
        </is>
      </c>
    </row>
    <row r="6">
      <c r="B6" s="4" t="inlineStr">
        <is>
          <t>E1004</t>
        </is>
      </c>
      <c r="C6" s="4" t="inlineStr">
        <is>
          <t>안도현</t>
        </is>
      </c>
      <c r="D6" s="4" t="inlineStr">
        <is>
          <t>개발팀</t>
        </is>
      </c>
      <c r="E6" s="4" t="inlineStr">
        <is>
          <t>과장</t>
        </is>
      </c>
      <c r="F6" s="4" t="inlineStr">
        <is>
          <t>2016-11-15</t>
        </is>
      </c>
      <c r="G6" s="4" t="inlineStr">
        <is>
          <t>010-6902-6559</t>
        </is>
      </c>
    </row>
    <row r="7">
      <c r="B7" s="2" t="inlineStr">
        <is>
          <t>E1005</t>
        </is>
      </c>
      <c r="C7" s="2" t="inlineStr">
        <is>
          <t>강하준</t>
        </is>
      </c>
      <c r="D7" s="2" t="inlineStr">
        <is>
          <t>마케팅팀</t>
        </is>
      </c>
      <c r="E7" s="2" t="inlineStr">
        <is>
          <t>부장</t>
        </is>
      </c>
      <c r="F7" s="2" t="inlineStr">
        <is>
          <t>2023-07-17</t>
        </is>
      </c>
      <c r="G7" s="2" t="inlineStr">
        <is>
          <t>010-2580-8881</t>
        </is>
      </c>
    </row>
    <row r="8">
      <c r="B8" s="4" t="inlineStr">
        <is>
          <t>E1006</t>
        </is>
      </c>
      <c r="C8" s="4" t="inlineStr">
        <is>
          <t>엄태경</t>
        </is>
      </c>
      <c r="D8" s="4" t="inlineStr">
        <is>
          <t>인사팀</t>
        </is>
      </c>
      <c r="E8" s="4" t="inlineStr">
        <is>
          <t>주임</t>
        </is>
      </c>
      <c r="F8" s="4" t="inlineStr">
        <is>
          <t>2024-12-08</t>
        </is>
      </c>
      <c r="G8" s="4" t="inlineStr">
        <is>
          <t>010-6208-9351</t>
        </is>
      </c>
    </row>
    <row r="9">
      <c r="B9" s="2" t="inlineStr">
        <is>
          <t>E1007</t>
        </is>
      </c>
      <c r="C9" s="2" t="inlineStr">
        <is>
          <t>최예은</t>
        </is>
      </c>
      <c r="D9" s="2" t="inlineStr">
        <is>
          <t>영업팀</t>
        </is>
      </c>
      <c r="E9" s="2" t="inlineStr">
        <is>
          <t>과장</t>
        </is>
      </c>
      <c r="F9" s="2" t="inlineStr">
        <is>
          <t>2024-08-28</t>
        </is>
      </c>
      <c r="G9" s="2" t="inlineStr">
        <is>
          <t>010-5582-2399</t>
        </is>
      </c>
    </row>
    <row r="10">
      <c r="B10" s="4" t="inlineStr">
        <is>
          <t>E1008</t>
        </is>
      </c>
      <c r="C10" s="4" t="inlineStr">
        <is>
          <t>한소율</t>
        </is>
      </c>
      <c r="D10" s="4" t="inlineStr">
        <is>
          <t>재무팀</t>
        </is>
      </c>
      <c r="E10" s="4" t="inlineStr">
        <is>
          <t>주임</t>
        </is>
      </c>
      <c r="F10" s="4" t="inlineStr">
        <is>
          <t>2020-08-02</t>
        </is>
      </c>
      <c r="G10" s="4" t="inlineStr">
        <is>
          <t>010-9159-1514</t>
        </is>
      </c>
    </row>
    <row r="11">
      <c r="B11" s="2" t="inlineStr">
        <is>
          <t>E1009</t>
        </is>
      </c>
      <c r="C11" s="2" t="inlineStr">
        <is>
          <t>조유나</t>
        </is>
      </c>
      <c r="D11" s="2" t="inlineStr">
        <is>
          <t>총무팀</t>
        </is>
      </c>
      <c r="E11" s="2" t="inlineStr">
        <is>
          <t>차장</t>
        </is>
      </c>
      <c r="F11" s="2" t="inlineStr">
        <is>
          <t>2023-05-12</t>
        </is>
      </c>
      <c r="G11" s="2" t="inlineStr">
        <is>
          <t>010-5867-8546</t>
        </is>
      </c>
    </row>
    <row r="12">
      <c r="B12" s="4" t="inlineStr">
        <is>
          <t>E1010</t>
        </is>
      </c>
      <c r="C12" s="4" t="inlineStr">
        <is>
          <t>남궁민</t>
        </is>
      </c>
      <c r="D12" s="4" t="inlineStr">
        <is>
          <t>고객지원팀</t>
        </is>
      </c>
      <c r="E12" s="4" t="inlineStr">
        <is>
          <t>과장</t>
        </is>
      </c>
      <c r="F12" s="4" t="inlineStr">
        <is>
          <t>2021-12-22</t>
        </is>
      </c>
      <c r="G12" s="4" t="inlineStr">
        <is>
          <t>010-8501-1332</t>
        </is>
      </c>
    </row>
    <row r="13">
      <c r="B13" s="2" t="inlineStr">
        <is>
          <t>E1011</t>
        </is>
      </c>
      <c r="C13" s="2" t="inlineStr">
        <is>
          <t>서지안</t>
        </is>
      </c>
      <c r="D13" s="2" t="inlineStr">
        <is>
          <t>영업팀</t>
        </is>
      </c>
      <c r="E13" s="2" t="inlineStr">
        <is>
          <t>차장</t>
        </is>
      </c>
      <c r="F13" s="2" t="inlineStr">
        <is>
          <t>2021-10-13</t>
        </is>
      </c>
      <c r="G13" s="2" t="inlineStr">
        <is>
          <t>010-1100-7004</t>
        </is>
      </c>
    </row>
    <row r="14">
      <c r="B14" s="4" t="inlineStr">
        <is>
          <t>E1012</t>
        </is>
      </c>
      <c r="C14" s="4" t="inlineStr">
        <is>
          <t>오시우</t>
        </is>
      </c>
      <c r="D14" s="4" t="inlineStr">
        <is>
          <t>재무팀</t>
        </is>
      </c>
      <c r="E14" s="4" t="inlineStr">
        <is>
          <t>대리</t>
        </is>
      </c>
      <c r="F14" s="4" t="inlineStr">
        <is>
          <t>2020-10-05</t>
        </is>
      </c>
      <c r="G14" s="4" t="inlineStr">
        <is>
          <t>010-4098-1955</t>
        </is>
      </c>
    </row>
    <row r="15">
      <c r="B15" s="2" t="inlineStr">
        <is>
          <t>E1013</t>
        </is>
      </c>
      <c r="C15" s="2" t="inlineStr">
        <is>
          <t>임지우</t>
        </is>
      </c>
      <c r="D15" s="2" t="inlineStr">
        <is>
          <t>마케팅팀</t>
        </is>
      </c>
      <c r="E15" s="2" t="inlineStr">
        <is>
          <t>사원</t>
        </is>
      </c>
      <c r="F15" s="2" t="inlineStr">
        <is>
          <t>2018-12-11</t>
        </is>
      </c>
      <c r="G15" s="2" t="inlineStr">
        <is>
          <t>010-4757-7449</t>
        </is>
      </c>
    </row>
    <row r="16">
      <c r="B16" s="4" t="inlineStr">
        <is>
          <t>E1014</t>
        </is>
      </c>
      <c r="C16" s="4" t="inlineStr">
        <is>
          <t>구하영</t>
        </is>
      </c>
      <c r="D16" s="4" t="inlineStr">
        <is>
          <t>고객지원팀</t>
        </is>
      </c>
      <c r="E16" s="4" t="inlineStr">
        <is>
          <t>부장</t>
        </is>
      </c>
      <c r="F16" s="4" t="inlineStr">
        <is>
          <t>2017-06-18</t>
        </is>
      </c>
      <c r="G16" s="4" t="inlineStr">
        <is>
          <t>010-1132-1866</t>
        </is>
      </c>
    </row>
    <row r="17">
      <c r="B17" s="2" t="inlineStr">
        <is>
          <t>E1015</t>
        </is>
      </c>
      <c r="C17" s="2" t="inlineStr">
        <is>
          <t>유지호</t>
        </is>
      </c>
      <c r="D17" s="2" t="inlineStr">
        <is>
          <t>기획팀</t>
        </is>
      </c>
      <c r="E17" s="2" t="inlineStr">
        <is>
          <t>주임</t>
        </is>
      </c>
      <c r="F17" s="2" t="inlineStr">
        <is>
          <t>2018-05-24</t>
        </is>
      </c>
      <c r="G17" s="2" t="inlineStr">
        <is>
          <t>010-3033-7617</t>
        </is>
      </c>
    </row>
    <row r="18">
      <c r="B18" s="4" t="inlineStr">
        <is>
          <t>E1016</t>
        </is>
      </c>
      <c r="C18" s="4" t="inlineStr">
        <is>
          <t>김민서</t>
        </is>
      </c>
      <c r="D18" s="4" t="inlineStr">
        <is>
          <t>기획팀</t>
        </is>
      </c>
      <c r="E18" s="4" t="inlineStr">
        <is>
          <t>대리</t>
        </is>
      </c>
      <c r="F18" s="4" t="inlineStr">
        <is>
          <t>2018-05-28</t>
        </is>
      </c>
      <c r="G18" s="4" t="inlineStr">
        <is>
          <t>010-6737-6043</t>
        </is>
      </c>
    </row>
    <row r="19">
      <c r="B19" s="2" t="inlineStr">
        <is>
          <t>E1017</t>
        </is>
      </c>
      <c r="C19" s="2" t="inlineStr">
        <is>
          <t>하늘별</t>
        </is>
      </c>
      <c r="D19" s="2" t="inlineStr">
        <is>
          <t>영업팀</t>
        </is>
      </c>
      <c r="E19" s="2" t="inlineStr">
        <is>
          <t>과장</t>
        </is>
      </c>
      <c r="F19" s="2" t="inlineStr">
        <is>
          <t>2018-11-20</t>
        </is>
      </c>
      <c r="G19" s="2" t="inlineStr">
        <is>
          <t>010-2571-8271</t>
        </is>
      </c>
    </row>
    <row r="20">
      <c r="B20" s="4" t="inlineStr">
        <is>
          <t>E1018</t>
        </is>
      </c>
      <c r="C20" s="4" t="inlineStr">
        <is>
          <t>고은서</t>
        </is>
      </c>
      <c r="D20" s="4" t="inlineStr">
        <is>
          <t>영업팀</t>
        </is>
      </c>
      <c r="E20" s="4" t="inlineStr">
        <is>
          <t>부장</t>
        </is>
      </c>
      <c r="F20" s="4" t="inlineStr">
        <is>
          <t>2018-02-25</t>
        </is>
      </c>
      <c r="G20" s="4" t="inlineStr">
        <is>
          <t>010-9495-7445</t>
        </is>
      </c>
    </row>
    <row r="21">
      <c r="B21" s="2" t="inlineStr">
        <is>
          <t>E1019</t>
        </is>
      </c>
      <c r="C21" s="2" t="inlineStr">
        <is>
          <t>신아윤</t>
        </is>
      </c>
      <c r="D21" s="2" t="inlineStr">
        <is>
          <t>총무팀</t>
        </is>
      </c>
      <c r="E21" s="2" t="inlineStr">
        <is>
          <t>과장</t>
        </is>
      </c>
      <c r="F21" s="2" t="inlineStr">
        <is>
          <t>2022-01-17</t>
        </is>
      </c>
      <c r="G21" s="2" t="inlineStr">
        <is>
          <t>010-6858-9275</t>
        </is>
      </c>
    </row>
    <row r="22">
      <c r="B22" s="4" t="inlineStr">
        <is>
          <t>E1020</t>
        </is>
      </c>
      <c r="C22" s="4" t="inlineStr">
        <is>
          <t>이서연</t>
        </is>
      </c>
      <c r="D22" s="4" t="inlineStr">
        <is>
          <t>재무팀</t>
        </is>
      </c>
      <c r="E22" s="4" t="inlineStr">
        <is>
          <t>부장</t>
        </is>
      </c>
      <c r="F22" s="4" t="inlineStr">
        <is>
          <t>2018-02-23</t>
        </is>
      </c>
      <c r="G22" s="4" t="inlineStr">
        <is>
          <t>010-4886-9056</t>
        </is>
      </c>
    </row>
    <row r="23">
      <c r="B23" s="2" t="inlineStr">
        <is>
          <t>E1021</t>
        </is>
      </c>
      <c r="C23" s="2" t="inlineStr">
        <is>
          <t>전우진</t>
        </is>
      </c>
      <c r="D23" s="2" t="inlineStr">
        <is>
          <t>인사팀</t>
        </is>
      </c>
      <c r="E23" s="2" t="inlineStr">
        <is>
          <t>과장</t>
        </is>
      </c>
      <c r="F23" s="2" t="inlineStr">
        <is>
          <t>2015-05-15</t>
        </is>
      </c>
      <c r="G23" s="2" t="inlineStr">
        <is>
          <t>010-7899-8802</t>
        </is>
      </c>
    </row>
    <row r="24">
      <c r="B24" s="4" t="inlineStr">
        <is>
          <t>E1022</t>
        </is>
      </c>
      <c r="C24" s="4" t="inlineStr">
        <is>
          <t>송수아</t>
        </is>
      </c>
      <c r="D24" s="4" t="inlineStr">
        <is>
          <t>기획팀</t>
        </is>
      </c>
      <c r="E24" s="4" t="inlineStr">
        <is>
          <t>주임</t>
        </is>
      </c>
      <c r="F24" s="4" t="inlineStr">
        <is>
          <t>2021-05-20</t>
        </is>
      </c>
      <c r="G24" s="4" t="inlineStr">
        <is>
          <t>010-6075-1815</t>
        </is>
      </c>
    </row>
    <row r="25">
      <c r="B25" s="2" t="inlineStr">
        <is>
          <t>E1023</t>
        </is>
      </c>
      <c r="C25" s="2" t="inlineStr">
        <is>
          <t>원지율</t>
        </is>
      </c>
      <c r="D25" s="2" t="inlineStr">
        <is>
          <t>인사팀</t>
        </is>
      </c>
      <c r="E25" s="2" t="inlineStr">
        <is>
          <t>차장</t>
        </is>
      </c>
      <c r="F25" s="2" t="inlineStr">
        <is>
          <t>2024-01-10</t>
        </is>
      </c>
      <c r="G25" s="2" t="inlineStr">
        <is>
          <t>010-8158-6818</t>
        </is>
      </c>
    </row>
    <row r="26">
      <c r="B26" s="4" t="inlineStr">
        <is>
          <t>E1024</t>
        </is>
      </c>
      <c r="C26" s="4" t="inlineStr">
        <is>
          <t>백서윤</t>
        </is>
      </c>
      <c r="D26" s="4" t="inlineStr">
        <is>
          <t>영업팀</t>
        </is>
      </c>
      <c r="E26" s="4" t="inlineStr">
        <is>
          <t>사원</t>
        </is>
      </c>
      <c r="F26" s="4" t="inlineStr">
        <is>
          <t>2022-10-19</t>
        </is>
      </c>
      <c r="G26" s="4" t="inlineStr">
        <is>
          <t>010-3520-3961</t>
        </is>
      </c>
    </row>
    <row r="27">
      <c r="B27" s="2" t="inlineStr">
        <is>
          <t>E1025</t>
        </is>
      </c>
      <c r="C27" s="2" t="inlineStr">
        <is>
          <t>배예린</t>
        </is>
      </c>
      <c r="D27" s="2" t="inlineStr">
        <is>
          <t>총무팀</t>
        </is>
      </c>
      <c r="E27" s="2" t="inlineStr">
        <is>
          <t>주임</t>
        </is>
      </c>
      <c r="F27" s="2" t="inlineStr">
        <is>
          <t>2016-12-22</t>
        </is>
      </c>
      <c r="G27" s="2" t="inlineStr">
        <is>
          <t>010-7821-2538</t>
        </is>
      </c>
    </row>
    <row r="28">
      <c r="B28" s="4" t="inlineStr">
        <is>
          <t>E1026</t>
        </is>
      </c>
      <c r="C28" s="4" t="inlineStr">
        <is>
          <t>윤서준</t>
        </is>
      </c>
      <c r="D28" s="4" t="inlineStr">
        <is>
          <t>인사팀</t>
        </is>
      </c>
      <c r="E28" s="4" t="inlineStr">
        <is>
          <t>주임</t>
        </is>
      </c>
      <c r="F28" s="4" t="inlineStr">
        <is>
          <t>2024-04-12</t>
        </is>
      </c>
      <c r="G28" s="4" t="inlineStr">
        <is>
          <t>010-1774-6075</t>
        </is>
      </c>
    </row>
    <row r="29">
      <c r="B29" s="2" t="inlineStr">
        <is>
          <t>E1027</t>
        </is>
      </c>
      <c r="C29" s="2" t="inlineStr">
        <is>
          <t>노을찬</t>
        </is>
      </c>
      <c r="D29" s="2" t="inlineStr">
        <is>
          <t>기획팀</t>
        </is>
      </c>
      <c r="E29" s="2" t="inlineStr">
        <is>
          <t>주임</t>
        </is>
      </c>
      <c r="F29" s="2" t="inlineStr">
        <is>
          <t>2018-03-03</t>
        </is>
      </c>
      <c r="G29" s="2" t="inlineStr">
        <is>
          <t>010-3094-6103</t>
        </is>
      </c>
    </row>
    <row r="30">
      <c r="B30" s="4" t="inlineStr">
        <is>
          <t>E1028</t>
        </is>
      </c>
      <c r="C30" s="4" t="inlineStr">
        <is>
          <t>변준영</t>
        </is>
      </c>
      <c r="D30" s="4" t="inlineStr">
        <is>
          <t>재무팀</t>
        </is>
      </c>
      <c r="E30" s="4" t="inlineStr">
        <is>
          <t>사원</t>
        </is>
      </c>
      <c r="F30" s="4" t="inlineStr">
        <is>
          <t>2024-11-15</t>
        </is>
      </c>
      <c r="G30" s="4" t="inlineStr">
        <is>
          <t>010-9790-3829</t>
        </is>
      </c>
    </row>
    <row r="31">
      <c r="B31" s="2" t="inlineStr">
        <is>
          <t>E1029</t>
        </is>
      </c>
      <c r="C31" s="2" t="inlineStr">
        <is>
          <t>심다은</t>
        </is>
      </c>
      <c r="D31" s="2" t="inlineStr">
        <is>
          <t>영업팀</t>
        </is>
      </c>
      <c r="E31" s="2" t="inlineStr">
        <is>
          <t>사원</t>
        </is>
      </c>
      <c r="F31" s="2" t="inlineStr">
        <is>
          <t>2020-06-22</t>
        </is>
      </c>
      <c r="G31" s="2" t="inlineStr">
        <is>
          <t>010-8606-7642</t>
        </is>
      </c>
    </row>
    <row r="32">
      <c r="B32" s="4" t="inlineStr">
        <is>
          <t>E1030</t>
        </is>
      </c>
      <c r="C32" s="4" t="inlineStr">
        <is>
          <t>권민준</t>
        </is>
      </c>
      <c r="D32" s="4" t="inlineStr">
        <is>
          <t>기획팀</t>
        </is>
      </c>
      <c r="E32" s="4" t="inlineStr">
        <is>
          <t>사원</t>
        </is>
      </c>
      <c r="F32" s="4" t="inlineStr">
        <is>
          <t>2021-01-18</t>
        </is>
      </c>
      <c r="G32" s="4" t="inlineStr">
        <is>
          <t>010-5484-1140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2026-06-17T03:38:48Z</dcterms:created>
  <dcterms:modified xsi:type="dcterms:W3CDTF">2026-06-17T03:38:48Z</dcterms:modified>
</cp:coreProperties>
</file>