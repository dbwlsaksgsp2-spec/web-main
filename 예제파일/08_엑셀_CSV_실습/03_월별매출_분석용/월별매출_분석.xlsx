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별_매출_요약" sheetId="1" state="visible" r:id="rId1"/>
    <sheet name="매출_교차표" sheetId="2" state="visible" r:id="rId2"/>
    <sheet name="분기별_매출_합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8" customWidth="1" min="4" max="4"/>
    <col width="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>
      <c r="B2" s="1" t="inlineStr">
        <is>
          <t>제품</t>
        </is>
      </c>
      <c r="C2" s="1" t="inlineStr">
        <is>
          <t>총 매출액</t>
        </is>
      </c>
      <c r="D2" s="1" t="inlineStr">
        <is>
          <t>월평균 매출액</t>
        </is>
      </c>
      <c r="F2" s="1" t="inlineStr">
        <is>
          <t>월</t>
        </is>
      </c>
      <c r="G2" s="1" t="inlineStr">
        <is>
          <t>제품</t>
        </is>
      </c>
      <c r="H2" s="1" t="inlineStr">
        <is>
          <t>판매수량</t>
        </is>
      </c>
      <c r="I2" s="1" t="inlineStr">
        <is>
          <t>매출액</t>
        </is>
      </c>
    </row>
    <row r="3">
      <c r="B3" s="2" t="inlineStr">
        <is>
          <t>베이직</t>
        </is>
      </c>
      <c r="C3" s="3">
        <f>SUMIF(G$3:G$38, B3, I$3:I$38)</f>
        <v/>
      </c>
      <c r="D3" s="3">
        <f>AVERAGEIF(G$3:G$38, B3, I$3:I$38)</f>
        <v/>
      </c>
      <c r="F3" s="4" t="inlineStr">
        <is>
          <t>1월</t>
        </is>
      </c>
      <c r="G3" s="4" t="inlineStr">
        <is>
          <t>베이직</t>
        </is>
      </c>
      <c r="H3" s="5" t="n">
        <v>39</v>
      </c>
      <c r="I3" s="3" t="n">
        <v>386100</v>
      </c>
    </row>
    <row r="4">
      <c r="B4" s="2" t="inlineStr">
        <is>
          <t>프리미엄</t>
        </is>
      </c>
      <c r="C4" s="3">
        <f>SUMIF(G$3:G$38, B4, I$3:I$38)</f>
        <v/>
      </c>
      <c r="D4" s="3">
        <f>AVERAGEIF(G$3:G$38, B4, I$3:I$38)</f>
        <v/>
      </c>
      <c r="F4" s="6" t="inlineStr">
        <is>
          <t>1월</t>
        </is>
      </c>
      <c r="G4" s="6" t="inlineStr">
        <is>
          <t>프리미엄</t>
        </is>
      </c>
      <c r="H4" s="7" t="n">
        <v>40</v>
      </c>
      <c r="I4" s="8" t="n">
        <v>1188000</v>
      </c>
    </row>
    <row r="5">
      <c r="B5" s="2" t="inlineStr">
        <is>
          <t>엔터프라이즈</t>
        </is>
      </c>
      <c r="C5" s="3">
        <f>SUMIF(G$3:G$38, B5, I$3:I$38)</f>
        <v/>
      </c>
      <c r="D5" s="3">
        <f>AVERAGEIF(G$3:G$38, B5, I$3:I$38)</f>
        <v/>
      </c>
      <c r="F5" s="4" t="inlineStr">
        <is>
          <t>1월</t>
        </is>
      </c>
      <c r="G5" s="4" t="inlineStr">
        <is>
          <t>엔터프라이즈</t>
        </is>
      </c>
      <c r="H5" s="5" t="n">
        <v>32</v>
      </c>
      <c r="I5" s="3" t="n">
        <v>3168000</v>
      </c>
    </row>
    <row r="6">
      <c r="B6" s="9" t="inlineStr">
        <is>
          <t>합계 / 평균</t>
        </is>
      </c>
      <c r="C6" s="10">
        <f>SUM(C3:C5)</f>
        <v/>
      </c>
      <c r="D6" s="10">
        <f>AVERAGE(D3:D5)</f>
        <v/>
      </c>
      <c r="F6" s="6" t="inlineStr">
        <is>
          <t>2월</t>
        </is>
      </c>
      <c r="G6" s="6" t="inlineStr">
        <is>
          <t>베이직</t>
        </is>
      </c>
      <c r="H6" s="7" t="n">
        <v>60</v>
      </c>
      <c r="I6" s="8" t="n">
        <v>594000</v>
      </c>
    </row>
    <row r="7">
      <c r="F7" s="4" t="inlineStr">
        <is>
          <t>2월</t>
        </is>
      </c>
      <c r="G7" s="4" t="inlineStr">
        <is>
          <t>프리미엄</t>
        </is>
      </c>
      <c r="H7" s="5" t="n">
        <v>56</v>
      </c>
      <c r="I7" s="3" t="n">
        <v>1663200</v>
      </c>
    </row>
    <row r="8">
      <c r="F8" s="6" t="inlineStr">
        <is>
          <t>2월</t>
        </is>
      </c>
      <c r="G8" s="6" t="inlineStr">
        <is>
          <t>엔터프라이즈</t>
        </is>
      </c>
      <c r="H8" s="7" t="n">
        <v>50</v>
      </c>
      <c r="I8" s="8" t="n">
        <v>4950000</v>
      </c>
    </row>
    <row r="9">
      <c r="F9" s="4" t="inlineStr">
        <is>
          <t>3월</t>
        </is>
      </c>
      <c r="G9" s="4" t="inlineStr">
        <is>
          <t>베이직</t>
        </is>
      </c>
      <c r="H9" s="5" t="n">
        <v>15</v>
      </c>
      <c r="I9" s="3" t="n">
        <v>148500</v>
      </c>
    </row>
    <row r="10">
      <c r="F10" s="6" t="inlineStr">
        <is>
          <t>3월</t>
        </is>
      </c>
      <c r="G10" s="6" t="inlineStr">
        <is>
          <t>프리미엄</t>
        </is>
      </c>
      <c r="H10" s="7" t="n">
        <v>45</v>
      </c>
      <c r="I10" s="8" t="n">
        <v>1336500</v>
      </c>
    </row>
    <row r="11">
      <c r="F11" s="4" t="inlineStr">
        <is>
          <t>3월</t>
        </is>
      </c>
      <c r="G11" s="4" t="inlineStr">
        <is>
          <t>엔터프라이즈</t>
        </is>
      </c>
      <c r="H11" s="5" t="n">
        <v>6</v>
      </c>
      <c r="I11" s="3" t="n">
        <v>594000</v>
      </c>
    </row>
    <row r="12">
      <c r="F12" s="6" t="inlineStr">
        <is>
          <t>4월</t>
        </is>
      </c>
      <c r="G12" s="6" t="inlineStr">
        <is>
          <t>베이직</t>
        </is>
      </c>
      <c r="H12" s="7" t="n">
        <v>57</v>
      </c>
      <c r="I12" s="8" t="n">
        <v>564300</v>
      </c>
    </row>
    <row r="13">
      <c r="F13" s="4" t="inlineStr">
        <is>
          <t>4월</t>
        </is>
      </c>
      <c r="G13" s="4" t="inlineStr">
        <is>
          <t>프리미엄</t>
        </is>
      </c>
      <c r="H13" s="5" t="n">
        <v>20</v>
      </c>
      <c r="I13" s="3" t="n">
        <v>594000</v>
      </c>
    </row>
    <row r="14">
      <c r="F14" s="6" t="inlineStr">
        <is>
          <t>4월</t>
        </is>
      </c>
      <c r="G14" s="6" t="inlineStr">
        <is>
          <t>엔터프라이즈</t>
        </is>
      </c>
      <c r="H14" s="7" t="n">
        <v>58</v>
      </c>
      <c r="I14" s="8" t="n">
        <v>5742000</v>
      </c>
    </row>
    <row r="15">
      <c r="F15" s="4" t="inlineStr">
        <is>
          <t>5월</t>
        </is>
      </c>
      <c r="G15" s="4" t="inlineStr">
        <is>
          <t>베이직</t>
        </is>
      </c>
      <c r="H15" s="5" t="n">
        <v>15</v>
      </c>
      <c r="I15" s="3" t="n">
        <v>148500</v>
      </c>
    </row>
    <row r="16">
      <c r="F16" s="6" t="inlineStr">
        <is>
          <t>5월</t>
        </is>
      </c>
      <c r="G16" s="6" t="inlineStr">
        <is>
          <t>프리미엄</t>
        </is>
      </c>
      <c r="H16" s="7" t="n">
        <v>40</v>
      </c>
      <c r="I16" s="8" t="n">
        <v>1188000</v>
      </c>
    </row>
    <row r="17">
      <c r="F17" s="4" t="inlineStr">
        <is>
          <t>5월</t>
        </is>
      </c>
      <c r="G17" s="4" t="inlineStr">
        <is>
          <t>엔터프라이즈</t>
        </is>
      </c>
      <c r="H17" s="5" t="n">
        <v>36</v>
      </c>
      <c r="I17" s="3" t="n">
        <v>3564000</v>
      </c>
    </row>
    <row r="18">
      <c r="F18" s="6" t="inlineStr">
        <is>
          <t>6월</t>
        </is>
      </c>
      <c r="G18" s="6" t="inlineStr">
        <is>
          <t>베이직</t>
        </is>
      </c>
      <c r="H18" s="7" t="n">
        <v>53</v>
      </c>
      <c r="I18" s="8" t="n">
        <v>524700</v>
      </c>
    </row>
    <row r="19">
      <c r="F19" s="4" t="inlineStr">
        <is>
          <t>6월</t>
        </is>
      </c>
      <c r="G19" s="4" t="inlineStr">
        <is>
          <t>프리미엄</t>
        </is>
      </c>
      <c r="H19" s="5" t="n">
        <v>39</v>
      </c>
      <c r="I19" s="3" t="n">
        <v>1158300</v>
      </c>
    </row>
    <row r="20">
      <c r="F20" s="6" t="inlineStr">
        <is>
          <t>6월</t>
        </is>
      </c>
      <c r="G20" s="6" t="inlineStr">
        <is>
          <t>엔터프라이즈</t>
        </is>
      </c>
      <c r="H20" s="7" t="n">
        <v>14</v>
      </c>
      <c r="I20" s="8" t="n">
        <v>1386000</v>
      </c>
    </row>
    <row r="21">
      <c r="F21" s="4" t="inlineStr">
        <is>
          <t>7월</t>
        </is>
      </c>
      <c r="G21" s="4" t="inlineStr">
        <is>
          <t>베이직</t>
        </is>
      </c>
      <c r="H21" s="5" t="n">
        <v>21</v>
      </c>
      <c r="I21" s="3" t="n">
        <v>207900</v>
      </c>
    </row>
    <row r="22">
      <c r="F22" s="6" t="inlineStr">
        <is>
          <t>7월</t>
        </is>
      </c>
      <c r="G22" s="6" t="inlineStr">
        <is>
          <t>프리미엄</t>
        </is>
      </c>
      <c r="H22" s="7" t="n">
        <v>59</v>
      </c>
      <c r="I22" s="8" t="n">
        <v>1752300</v>
      </c>
    </row>
    <row r="23">
      <c r="F23" s="4" t="inlineStr">
        <is>
          <t>7월</t>
        </is>
      </c>
      <c r="G23" s="4" t="inlineStr">
        <is>
          <t>엔터프라이즈</t>
        </is>
      </c>
      <c r="H23" s="5" t="n">
        <v>40</v>
      </c>
      <c r="I23" s="3" t="n">
        <v>3960000</v>
      </c>
    </row>
    <row r="24">
      <c r="F24" s="6" t="inlineStr">
        <is>
          <t>8월</t>
        </is>
      </c>
      <c r="G24" s="6" t="inlineStr">
        <is>
          <t>베이직</t>
        </is>
      </c>
      <c r="H24" s="7" t="n">
        <v>24</v>
      </c>
      <c r="I24" s="8" t="n">
        <v>237600</v>
      </c>
    </row>
    <row r="25">
      <c r="F25" s="4" t="inlineStr">
        <is>
          <t>8월</t>
        </is>
      </c>
      <c r="G25" s="4" t="inlineStr">
        <is>
          <t>프리미엄</t>
        </is>
      </c>
      <c r="H25" s="5" t="n">
        <v>11</v>
      </c>
      <c r="I25" s="3" t="n">
        <v>326700</v>
      </c>
    </row>
    <row r="26">
      <c r="F26" s="6" t="inlineStr">
        <is>
          <t>8월</t>
        </is>
      </c>
      <c r="G26" s="6" t="inlineStr">
        <is>
          <t>엔터프라이즈</t>
        </is>
      </c>
      <c r="H26" s="7" t="n">
        <v>31</v>
      </c>
      <c r="I26" s="8" t="n">
        <v>3069000</v>
      </c>
    </row>
    <row r="27">
      <c r="F27" s="4" t="inlineStr">
        <is>
          <t>9월</t>
        </is>
      </c>
      <c r="G27" s="4" t="inlineStr">
        <is>
          <t>베이직</t>
        </is>
      </c>
      <c r="H27" s="5" t="n">
        <v>11</v>
      </c>
      <c r="I27" s="3" t="n">
        <v>108900</v>
      </c>
    </row>
    <row r="28">
      <c r="F28" s="6" t="inlineStr">
        <is>
          <t>9월</t>
        </is>
      </c>
      <c r="G28" s="6" t="inlineStr">
        <is>
          <t>프리미엄</t>
        </is>
      </c>
      <c r="H28" s="7" t="n">
        <v>17</v>
      </c>
      <c r="I28" s="8" t="n">
        <v>504900</v>
      </c>
    </row>
    <row r="29">
      <c r="F29" s="4" t="inlineStr">
        <is>
          <t>9월</t>
        </is>
      </c>
      <c r="G29" s="4" t="inlineStr">
        <is>
          <t>엔터프라이즈</t>
        </is>
      </c>
      <c r="H29" s="5" t="n">
        <v>22</v>
      </c>
      <c r="I29" s="3" t="n">
        <v>2178000</v>
      </c>
    </row>
    <row r="30">
      <c r="F30" s="6" t="inlineStr">
        <is>
          <t>10월</t>
        </is>
      </c>
      <c r="G30" s="6" t="inlineStr">
        <is>
          <t>베이직</t>
        </is>
      </c>
      <c r="H30" s="7" t="n">
        <v>13</v>
      </c>
      <c r="I30" s="8" t="n">
        <v>128700</v>
      </c>
    </row>
    <row r="31">
      <c r="F31" s="4" t="inlineStr">
        <is>
          <t>10월</t>
        </is>
      </c>
      <c r="G31" s="4" t="inlineStr">
        <is>
          <t>프리미엄</t>
        </is>
      </c>
      <c r="H31" s="5" t="n">
        <v>48</v>
      </c>
      <c r="I31" s="3" t="n">
        <v>1425600</v>
      </c>
    </row>
    <row r="32">
      <c r="F32" s="6" t="inlineStr">
        <is>
          <t>10월</t>
        </is>
      </c>
      <c r="G32" s="6" t="inlineStr">
        <is>
          <t>엔터프라이즈</t>
        </is>
      </c>
      <c r="H32" s="7" t="n">
        <v>7</v>
      </c>
      <c r="I32" s="8" t="n">
        <v>693000</v>
      </c>
    </row>
    <row r="33">
      <c r="F33" s="4" t="inlineStr">
        <is>
          <t>11월</t>
        </is>
      </c>
      <c r="G33" s="4" t="inlineStr">
        <is>
          <t>베이직</t>
        </is>
      </c>
      <c r="H33" s="5" t="n">
        <v>14</v>
      </c>
      <c r="I33" s="3" t="n">
        <v>138600</v>
      </c>
    </row>
    <row r="34">
      <c r="F34" s="6" t="inlineStr">
        <is>
          <t>11월</t>
        </is>
      </c>
      <c r="G34" s="6" t="inlineStr">
        <is>
          <t>프리미엄</t>
        </is>
      </c>
      <c r="H34" s="7" t="n">
        <v>20</v>
      </c>
      <c r="I34" s="8" t="n">
        <v>594000</v>
      </c>
    </row>
    <row r="35">
      <c r="F35" s="4" t="inlineStr">
        <is>
          <t>11월</t>
        </is>
      </c>
      <c r="G35" s="4" t="inlineStr">
        <is>
          <t>엔터프라이즈</t>
        </is>
      </c>
      <c r="H35" s="5" t="n">
        <v>9</v>
      </c>
      <c r="I35" s="3" t="n">
        <v>891000</v>
      </c>
    </row>
    <row r="36">
      <c r="F36" s="6" t="inlineStr">
        <is>
          <t>12월</t>
        </is>
      </c>
      <c r="G36" s="6" t="inlineStr">
        <is>
          <t>베이직</t>
        </is>
      </c>
      <c r="H36" s="7" t="n">
        <v>22</v>
      </c>
      <c r="I36" s="8" t="n">
        <v>217800</v>
      </c>
    </row>
    <row r="37">
      <c r="F37" s="4" t="inlineStr">
        <is>
          <t>12월</t>
        </is>
      </c>
      <c r="G37" s="4" t="inlineStr">
        <is>
          <t>프리미엄</t>
        </is>
      </c>
      <c r="H37" s="5" t="n">
        <v>55</v>
      </c>
      <c r="I37" s="3" t="n">
        <v>1633500</v>
      </c>
    </row>
    <row r="38">
      <c r="F38" s="6" t="inlineStr">
        <is>
          <t>12월</t>
        </is>
      </c>
      <c r="G38" s="6" t="inlineStr">
        <is>
          <t>엔터프라이즈</t>
        </is>
      </c>
      <c r="H38" s="7" t="n">
        <v>19</v>
      </c>
      <c r="I38" s="8" t="n">
        <v>1881000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11" t="inlineStr">
        <is>
          <t>월 / 제품</t>
        </is>
      </c>
      <c r="C2" s="11" t="inlineStr">
        <is>
          <t>베이직</t>
        </is>
      </c>
      <c r="D2" s="11" t="inlineStr">
        <is>
          <t>프리미엄</t>
        </is>
      </c>
      <c r="E2" s="11" t="inlineStr">
        <is>
          <t>엔터프라이즈</t>
        </is>
      </c>
      <c r="F2" s="11" t="inlineStr">
        <is>
          <t>합계</t>
        </is>
      </c>
    </row>
    <row r="3">
      <c r="B3" s="2" t="inlineStr">
        <is>
          <t>1월</t>
        </is>
      </c>
      <c r="C3" s="3">
        <f>SUMIFS(제품별_매출_요약!$I$3:$I$38, 제품별_매출_요약!$F$3:$F$38, $B3, 제품별_매출_요약!$G$3:$G$38, C$2)</f>
        <v/>
      </c>
      <c r="D3" s="3">
        <f>SUMIFS(제품별_매출_요약!$I$3:$I$38, 제품별_매출_요약!$F$3:$F$38, $B3, 제품별_매출_요약!$G$3:$G$38, C$2)</f>
        <v/>
      </c>
      <c r="E3" s="3">
        <f>SUMIFS(제품별_매출_요약!$I$3:$I$38, 제품별_매출_요약!$F$3:$F$38, $B3, 제품별_매출_요약!$G$3:$G$38, C$2)</f>
        <v/>
      </c>
      <c r="F3" s="12">
        <f>SUM(C3:E3)</f>
        <v/>
      </c>
    </row>
    <row r="4">
      <c r="B4" s="13" t="inlineStr">
        <is>
          <t>2월</t>
        </is>
      </c>
      <c r="C4" s="8">
        <f>SUMIFS(제품별_매출_요약!$I$3:$I$38, 제품별_매출_요약!$F$3:$F$38, $B4, 제품별_매출_요약!$G$3:$G$38, C$2)</f>
        <v/>
      </c>
      <c r="D4" s="8">
        <f>SUMIFS(제품별_매출_요약!$I$3:$I$38, 제품별_매출_요약!$F$3:$F$38, $B4, 제품별_매출_요약!$G$3:$G$38, C$2)</f>
        <v/>
      </c>
      <c r="E4" s="8">
        <f>SUMIFS(제품별_매출_요약!$I$3:$I$38, 제품별_매출_요약!$F$3:$F$38, $B4, 제품별_매출_요약!$G$3:$G$38, C$2)</f>
        <v/>
      </c>
      <c r="F4" s="14">
        <f>SUM(C4:E4)</f>
        <v/>
      </c>
    </row>
    <row r="5">
      <c r="B5" s="2" t="inlineStr">
        <is>
          <t>3월</t>
        </is>
      </c>
      <c r="C5" s="3">
        <f>SUMIFS(제품별_매출_요약!$I$3:$I$38, 제품별_매출_요약!$F$3:$F$38, $B5, 제품별_매출_요약!$G$3:$G$38, C$2)</f>
        <v/>
      </c>
      <c r="D5" s="3">
        <f>SUMIFS(제품별_매출_요약!$I$3:$I$38, 제품별_매출_요약!$F$3:$F$38, $B5, 제품별_매출_요약!$G$3:$G$38, C$2)</f>
        <v/>
      </c>
      <c r="E5" s="3">
        <f>SUMIFS(제품별_매출_요약!$I$3:$I$38, 제품별_매출_요약!$F$3:$F$38, $B5, 제품별_매출_요약!$G$3:$G$38, C$2)</f>
        <v/>
      </c>
      <c r="F5" s="12">
        <f>SUM(C5:E5)</f>
        <v/>
      </c>
    </row>
    <row r="6">
      <c r="B6" s="13" t="inlineStr">
        <is>
          <t>4월</t>
        </is>
      </c>
      <c r="C6" s="8">
        <f>SUMIFS(제품별_매출_요약!$I$3:$I$38, 제품별_매출_요약!$F$3:$F$38, $B6, 제품별_매출_요약!$G$3:$G$38, C$2)</f>
        <v/>
      </c>
      <c r="D6" s="8">
        <f>SUMIFS(제품별_매출_요약!$I$3:$I$38, 제품별_매출_요약!$F$3:$F$38, $B6, 제품별_매출_요약!$G$3:$G$38, C$2)</f>
        <v/>
      </c>
      <c r="E6" s="8">
        <f>SUMIFS(제품별_매출_요약!$I$3:$I$38, 제품별_매출_요약!$F$3:$F$38, $B6, 제품별_매출_요약!$G$3:$G$38, C$2)</f>
        <v/>
      </c>
      <c r="F6" s="14">
        <f>SUM(C6:E6)</f>
        <v/>
      </c>
    </row>
    <row r="7">
      <c r="B7" s="2" t="inlineStr">
        <is>
          <t>5월</t>
        </is>
      </c>
      <c r="C7" s="3">
        <f>SUMIFS(제품별_매출_요약!$I$3:$I$38, 제품별_매출_요약!$F$3:$F$38, $B7, 제품별_매출_요약!$G$3:$G$38, C$2)</f>
        <v/>
      </c>
      <c r="D7" s="3">
        <f>SUMIFS(제품별_매출_요약!$I$3:$I$38, 제품별_매출_요약!$F$3:$F$38, $B7, 제품별_매출_요약!$G$3:$G$38, C$2)</f>
        <v/>
      </c>
      <c r="E7" s="3">
        <f>SUMIFS(제품별_매출_요약!$I$3:$I$38, 제품별_매출_요약!$F$3:$F$38, $B7, 제품별_매출_요약!$G$3:$G$38, C$2)</f>
        <v/>
      </c>
      <c r="F7" s="12">
        <f>SUM(C7:E7)</f>
        <v/>
      </c>
    </row>
    <row r="8">
      <c r="B8" s="13" t="inlineStr">
        <is>
          <t>6월</t>
        </is>
      </c>
      <c r="C8" s="8">
        <f>SUMIFS(제품별_매출_요약!$I$3:$I$38, 제품별_매출_요약!$F$3:$F$38, $B8, 제품별_매출_요약!$G$3:$G$38, C$2)</f>
        <v/>
      </c>
      <c r="D8" s="8">
        <f>SUMIFS(제품별_매출_요약!$I$3:$I$38, 제품별_매출_요약!$F$3:$F$38, $B8, 제품별_매출_요약!$G$3:$G$38, C$2)</f>
        <v/>
      </c>
      <c r="E8" s="8">
        <f>SUMIFS(제품별_매출_요약!$I$3:$I$38, 제품별_매출_요약!$F$3:$F$38, $B8, 제품별_매출_요약!$G$3:$G$38, C$2)</f>
        <v/>
      </c>
      <c r="F8" s="14">
        <f>SUM(C8:E8)</f>
        <v/>
      </c>
    </row>
    <row r="9">
      <c r="B9" s="2" t="inlineStr">
        <is>
          <t>7월</t>
        </is>
      </c>
      <c r="C9" s="3">
        <f>SUMIFS(제품별_매출_요약!$I$3:$I$38, 제품별_매출_요약!$F$3:$F$38, $B9, 제품별_매출_요약!$G$3:$G$38, C$2)</f>
        <v/>
      </c>
      <c r="D9" s="3">
        <f>SUMIFS(제품별_매출_요약!$I$3:$I$38, 제품별_매출_요약!$F$3:$F$38, $B9, 제품별_매출_요약!$G$3:$G$38, C$2)</f>
        <v/>
      </c>
      <c r="E9" s="3">
        <f>SUMIFS(제품별_매출_요약!$I$3:$I$38, 제품별_매출_요약!$F$3:$F$38, $B9, 제품별_매출_요약!$G$3:$G$38, C$2)</f>
        <v/>
      </c>
      <c r="F9" s="12">
        <f>SUM(C9:E9)</f>
        <v/>
      </c>
    </row>
    <row r="10">
      <c r="B10" s="13" t="inlineStr">
        <is>
          <t>8월</t>
        </is>
      </c>
      <c r="C10" s="8">
        <f>SUMIFS(제품별_매출_요약!$I$3:$I$38, 제품별_매출_요약!$F$3:$F$38, $B10, 제품별_매출_요약!$G$3:$G$38, C$2)</f>
        <v/>
      </c>
      <c r="D10" s="8">
        <f>SUMIFS(제품별_매출_요약!$I$3:$I$38, 제품별_매출_요약!$F$3:$F$38, $B10, 제품별_매출_요약!$G$3:$G$38, C$2)</f>
        <v/>
      </c>
      <c r="E10" s="8">
        <f>SUMIFS(제품별_매출_요약!$I$3:$I$38, 제품별_매출_요약!$F$3:$F$38, $B10, 제품별_매출_요약!$G$3:$G$38, C$2)</f>
        <v/>
      </c>
      <c r="F10" s="14">
        <f>SUM(C10:E10)</f>
        <v/>
      </c>
    </row>
    <row r="11">
      <c r="B11" s="2" t="inlineStr">
        <is>
          <t>9월</t>
        </is>
      </c>
      <c r="C11" s="3">
        <f>SUMIFS(제품별_매출_요약!$I$3:$I$38, 제품별_매출_요약!$F$3:$F$38, $B11, 제품별_매출_요약!$G$3:$G$38, C$2)</f>
        <v/>
      </c>
      <c r="D11" s="3">
        <f>SUMIFS(제품별_매출_요약!$I$3:$I$38, 제품별_매출_요약!$F$3:$F$38, $B11, 제품별_매출_요약!$G$3:$G$38, C$2)</f>
        <v/>
      </c>
      <c r="E11" s="3">
        <f>SUMIFS(제품별_매출_요약!$I$3:$I$38, 제품별_매출_요약!$F$3:$F$38, $B11, 제품별_매출_요약!$G$3:$G$38, C$2)</f>
        <v/>
      </c>
      <c r="F11" s="12">
        <f>SUM(C11:E11)</f>
        <v/>
      </c>
    </row>
    <row r="12">
      <c r="B12" s="13" t="inlineStr">
        <is>
          <t>10월</t>
        </is>
      </c>
      <c r="C12" s="8">
        <f>SUMIFS(제품별_매출_요약!$I$3:$I$38, 제품별_매출_요약!$F$3:$F$38, $B12, 제품별_매출_요약!$G$3:$G$38, C$2)</f>
        <v/>
      </c>
      <c r="D12" s="8">
        <f>SUMIFS(제품별_매출_요약!$I$3:$I$38, 제품별_매출_요약!$F$3:$F$38, $B12, 제품별_매출_요약!$G$3:$G$38, C$2)</f>
        <v/>
      </c>
      <c r="E12" s="8">
        <f>SUMIFS(제품별_매출_요약!$I$3:$I$38, 제품별_매출_요약!$F$3:$F$38, $B12, 제품별_매출_요약!$G$3:$G$38, C$2)</f>
        <v/>
      </c>
      <c r="F12" s="14">
        <f>SUM(C12:E12)</f>
        <v/>
      </c>
    </row>
    <row r="13">
      <c r="B13" s="2" t="inlineStr">
        <is>
          <t>11월</t>
        </is>
      </c>
      <c r="C13" s="3">
        <f>SUMIFS(제품별_매출_요약!$I$3:$I$38, 제품별_매출_요약!$F$3:$F$38, $B13, 제품별_매출_요약!$G$3:$G$38, C$2)</f>
        <v/>
      </c>
      <c r="D13" s="3">
        <f>SUMIFS(제품별_매출_요약!$I$3:$I$38, 제품별_매출_요약!$F$3:$F$38, $B13, 제품별_매출_요약!$G$3:$G$38, C$2)</f>
        <v/>
      </c>
      <c r="E13" s="3">
        <f>SUMIFS(제품별_매출_요약!$I$3:$I$38, 제품별_매출_요약!$F$3:$F$38, $B13, 제품별_매출_요약!$G$3:$G$38, C$2)</f>
        <v/>
      </c>
      <c r="F13" s="12">
        <f>SUM(C13:E13)</f>
        <v/>
      </c>
    </row>
    <row r="14">
      <c r="B14" s="13" t="inlineStr">
        <is>
          <t>12월</t>
        </is>
      </c>
      <c r="C14" s="8">
        <f>SUMIFS(제품별_매출_요약!$I$3:$I$38, 제품별_매출_요약!$F$3:$F$38, $B14, 제품별_매출_요약!$G$3:$G$38, C$2)</f>
        <v/>
      </c>
      <c r="D14" s="8">
        <f>SUMIFS(제품별_매출_요약!$I$3:$I$38, 제품별_매출_요약!$F$3:$F$38, $B14, 제품별_매출_요약!$G$3:$G$38, C$2)</f>
        <v/>
      </c>
      <c r="E14" s="8">
        <f>SUMIFS(제품별_매출_요약!$I$3:$I$38, 제품별_매출_요약!$F$3:$F$38, $B14, 제품별_매출_요약!$G$3:$G$38, C$2)</f>
        <v/>
      </c>
      <c r="F14" s="14">
        <f>SUM(C14:E14)</f>
        <v/>
      </c>
    </row>
    <row r="15">
      <c r="B15" s="9" t="inlineStr">
        <is>
          <t>합계</t>
        </is>
      </c>
      <c r="C15" s="10">
        <f>SUM(C3:C14)</f>
        <v/>
      </c>
      <c r="D15" s="10">
        <f>SUM(D3:D14)</f>
        <v/>
      </c>
      <c r="E15" s="10">
        <f>SUM(E3:E14)</f>
        <v/>
      </c>
      <c r="F15" s="10">
        <f>SUM(F3:F14)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11" t="inlineStr">
        <is>
          <t>분기</t>
        </is>
      </c>
      <c r="C2" s="11" t="inlineStr">
        <is>
          <t>베이직</t>
        </is>
      </c>
      <c r="D2" s="11" t="inlineStr">
        <is>
          <t>프리미엄</t>
        </is>
      </c>
      <c r="E2" s="11" t="inlineStr">
        <is>
          <t>엔터프라이즈</t>
        </is>
      </c>
      <c r="F2" s="11" t="inlineStr">
        <is>
          <t>합계</t>
        </is>
      </c>
    </row>
    <row r="3">
      <c r="B3" s="2" t="inlineStr">
        <is>
          <t>1분기 (1월~3월)</t>
        </is>
      </c>
      <c r="C3" s="3">
        <f>SUM(매출_교차표!C3:C5)</f>
        <v/>
      </c>
      <c r="D3" s="3">
        <f>SUM(매출_교차표!D3:D5)</f>
        <v/>
      </c>
      <c r="E3" s="3">
        <f>SUM(매출_교차표!E3:E5)</f>
        <v/>
      </c>
      <c r="F3" s="12">
        <f>SUM(C3:E3)</f>
        <v/>
      </c>
    </row>
    <row r="4">
      <c r="B4" s="13" t="inlineStr">
        <is>
          <t>2분기 (4월~6월)</t>
        </is>
      </c>
      <c r="C4" s="8">
        <f>SUM(매출_교차표!C6:C8)</f>
        <v/>
      </c>
      <c r="D4" s="8">
        <f>SUM(매출_교차표!D6:D8)</f>
        <v/>
      </c>
      <c r="E4" s="8">
        <f>SUM(매출_교차표!E6:E8)</f>
        <v/>
      </c>
      <c r="F4" s="14">
        <f>SUM(C4:E4)</f>
        <v/>
      </c>
    </row>
    <row r="5">
      <c r="B5" s="2" t="inlineStr">
        <is>
          <t>3분기 (7월~9월)</t>
        </is>
      </c>
      <c r="C5" s="3">
        <f>SUM(매출_교차표!C9:C11)</f>
        <v/>
      </c>
      <c r="D5" s="3">
        <f>SUM(매출_교차표!D9:D11)</f>
        <v/>
      </c>
      <c r="E5" s="3">
        <f>SUM(매출_교차표!E9:E11)</f>
        <v/>
      </c>
      <c r="F5" s="12">
        <f>SUM(C5:E5)</f>
        <v/>
      </c>
    </row>
    <row r="6">
      <c r="B6" s="13" t="inlineStr">
        <is>
          <t>4분기 (10월~12월)</t>
        </is>
      </c>
      <c r="C6" s="8">
        <f>SUM(매출_교차표!C12:C14)</f>
        <v/>
      </c>
      <c r="D6" s="8">
        <f>SUM(매출_교차표!D12:D14)</f>
        <v/>
      </c>
      <c r="E6" s="8">
        <f>SUM(매출_교차표!E12:E14)</f>
        <v/>
      </c>
      <c r="F6" s="14">
        <f>SUM(C6:E6)</f>
        <v/>
      </c>
    </row>
    <row r="7">
      <c r="B7" s="9" t="inlineStr">
        <is>
          <t>합계</t>
        </is>
      </c>
      <c r="C7" s="10">
        <f>SUM(C3:C6)</f>
        <v/>
      </c>
      <c r="D7" s="10">
        <f>SUM(D3:D6)</f>
        <v/>
      </c>
      <c r="E7" s="10">
        <f>SUM(E3:E6)</f>
        <v/>
      </c>
      <c r="F7" s="10">
        <f>SUM(F3:F6)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2026-06-17T02:24:29Z</dcterms:created>
  <dcterms:modified xsi:type="dcterms:W3CDTF">2026-06-17T02:24:29Z</dcterms:modified>
</cp:coreProperties>
</file>