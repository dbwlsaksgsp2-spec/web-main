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제품별 매출 요약" sheetId="1" state="visible" r:id="rId1"/>
    <sheet name="월별 매출 분석" sheetId="2" state="visible" r:id="rId2"/>
    <sheet name="월별 판매수량 분석" sheetId="3" state="visible" r:id="rId3"/>
    <sheet name="분기별 매출 분석" sheetId="4" state="visible" r:id="rId4"/>
    <sheet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3" fontId="3" fillId="4" borderId="2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제품별 매출 비중</a:t>
            </a:r>
          </a:p>
        </rich>
      </tx>
    </title>
    <plotArea>
      <pieChart>
        <varyColors val="1"/>
        <ser>
          <idx val="0"/>
          <order val="0"/>
          <tx>
            <strRef>
              <f>'제품별 매출 요약'!C2</f>
            </strRef>
          </tx>
          <spPr>
            <a:ln>
              <a:prstDash val="solid"/>
            </a:ln>
          </spPr>
          <cat>
            <numRef>
              <f>'제품별 매출 요약'!$B$3:$B$5</f>
            </numRef>
          </cat>
          <val>
            <numRef>
              <f>'제품별 매출 요약'!$C$3:$C$5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제품별 월별 매출액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'월별 매출 분석'!C2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'월별 매출 분석'!$B$3:$B$14</f>
            </numRef>
          </cat>
          <val>
            <numRef>
              <f>'월별 매출 분석'!$C$3:$C$14</f>
            </numRef>
          </val>
        </ser>
        <ser>
          <idx val="1"/>
          <order val="1"/>
          <tx>
            <strRef>
              <f>'월별 매출 분석'!D2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'월별 매출 분석'!$B$3:$B$14</f>
            </numRef>
          </cat>
          <val>
            <numRef>
              <f>'월별 매출 분석'!$D$3:$D$14</f>
            </numRef>
          </val>
        </ser>
        <ser>
          <idx val="2"/>
          <order val="2"/>
          <tx>
            <strRef>
              <f>'월별 매출 분석'!E2</f>
            </strRef>
          </tx>
          <spPr>
            <a:ln w="250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'월별 매출 분석'!$B$3:$B$14</f>
            </numRef>
          </cat>
          <val>
            <numRef>
              <f>'월별 매출 분석'!$E$3:$E$14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매출액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제품별 월별 판매수량 비교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'월별 판매수량 분석'!C2</f>
            </strRef>
          </tx>
          <spPr>
            <a:ln>
              <a:prstDash val="solid"/>
            </a:ln>
          </spPr>
          <cat>
            <numRef>
              <f>'월별 판매수량 분석'!$B$3:$B$14</f>
            </numRef>
          </cat>
          <val>
            <numRef>
              <f>'월별 판매수량 분석'!$C$3:$C$14</f>
            </numRef>
          </val>
        </ser>
        <ser>
          <idx val="1"/>
          <order val="1"/>
          <tx>
            <strRef>
              <f>'월별 판매수량 분석'!D2</f>
            </strRef>
          </tx>
          <spPr>
            <a:ln>
              <a:prstDash val="solid"/>
            </a:ln>
          </spPr>
          <cat>
            <numRef>
              <f>'월별 판매수량 분석'!$B$3:$B$14</f>
            </numRef>
          </cat>
          <val>
            <numRef>
              <f>'월별 판매수량 분석'!$D$3:$D$14</f>
            </numRef>
          </val>
        </ser>
        <ser>
          <idx val="2"/>
          <order val="2"/>
          <tx>
            <strRef>
              <f>'월별 판매수량 분석'!E2</f>
            </strRef>
          </tx>
          <spPr>
            <a:ln>
              <a:prstDash val="solid"/>
            </a:ln>
          </spPr>
          <cat>
            <numRef>
              <f>'월별 판매수량 분석'!$B$3:$B$14</f>
            </numRef>
          </cat>
          <val>
            <numRef>
              <f>'월별 판매수량 분석'!$E$3:$E$14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월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판매수량 (개)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분기별 제품 매출 추이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'분기별 매출 분석'!C2</f>
            </strRef>
          </tx>
          <spPr>
            <a:ln>
              <a:prstDash val="solid"/>
            </a:ln>
          </spPr>
          <cat>
            <numRef>
              <f>'분기별 매출 분석'!$B$3:$B$6</f>
            </numRef>
          </cat>
          <val>
            <numRef>
              <f>'분기별 매출 분석'!$C$3:$C$6</f>
            </numRef>
          </val>
        </ser>
        <ser>
          <idx val="1"/>
          <order val="1"/>
          <tx>
            <strRef>
              <f>'분기별 매출 분석'!D2</f>
            </strRef>
          </tx>
          <spPr>
            <a:ln>
              <a:prstDash val="solid"/>
            </a:ln>
          </spPr>
          <cat>
            <numRef>
              <f>'분기별 매출 분석'!$B$3:$B$6</f>
            </numRef>
          </cat>
          <val>
            <numRef>
              <f>'분기별 매출 분석'!$D$3:$D$6</f>
            </numRef>
          </val>
        </ser>
        <ser>
          <idx val="2"/>
          <order val="2"/>
          <tx>
            <strRef>
              <f>'분기별 매출 분석'!E2</f>
            </strRef>
          </tx>
          <spPr>
            <a:ln>
              <a:prstDash val="solid"/>
            </a:ln>
          </spPr>
          <cat>
            <numRef>
              <f>'분기별 매출 분석'!$B$3:$B$6</f>
            </numRef>
          </cat>
          <val>
            <numRef>
              <f>'분기별 매출 분석'!$E$3:$E$6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분기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매출액 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18" customWidth="1" min="4" max="4"/>
  </cols>
  <sheetData>
    <row r="1"/>
    <row r="2">
      <c r="B2" s="1" t="inlineStr">
        <is>
          <t>제품명</t>
        </is>
      </c>
      <c r="C2" s="1" t="inlineStr">
        <is>
          <t>총 매출액</t>
        </is>
      </c>
      <c r="D2" s="1" t="inlineStr">
        <is>
          <t>월평균 매출액</t>
        </is>
      </c>
    </row>
    <row r="3">
      <c r="B3" s="2" t="inlineStr">
        <is>
          <t>베이직</t>
        </is>
      </c>
      <c r="C3" s="3">
        <f>SUMIF('Raw Data'!$C$3:$C$38, B3, 'Raw Data'!$E$3:$E$38)</f>
        <v/>
      </c>
      <c r="D3" s="3">
        <f>AVERAGEIF('Raw Data'!$C$3:$C$38, B3, 'Raw Data'!$E$3:$E$38)</f>
        <v/>
      </c>
    </row>
    <row r="4">
      <c r="B4" s="4" t="inlineStr">
        <is>
          <t>프리미엄</t>
        </is>
      </c>
      <c r="C4" s="5">
        <f>SUMIF('Raw Data'!$C$3:$C$38, B4, 'Raw Data'!$E$3:$E$38)</f>
        <v/>
      </c>
      <c r="D4" s="5">
        <f>AVERAGEIF('Raw Data'!$C$3:$C$38, B4, 'Raw Data'!$E$3:$E$38)</f>
        <v/>
      </c>
    </row>
    <row r="5">
      <c r="B5" s="2" t="inlineStr">
        <is>
          <t>엔터프라이즈</t>
        </is>
      </c>
      <c r="C5" s="3">
        <f>SUMIF('Raw Data'!$C$3:$C$38, B5, 'Raw Data'!$E$3:$E$38)</f>
        <v/>
      </c>
      <c r="D5" s="3">
        <f>AVERAGEIF('Raw Data'!$C$3:$C$38, B5, 'Raw Data'!$E$3:$E$38)</f>
        <v/>
      </c>
    </row>
    <row r="6">
      <c r="B6" s="6" t="inlineStr">
        <is>
          <t>합계</t>
        </is>
      </c>
      <c r="C6" s="7">
        <f>SUM(C3:C5)</f>
        <v/>
      </c>
      <c r="D6" s="7">
        <f>AVERAGE(D3:D5)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/>
    <row r="2">
      <c r="B2" s="1" t="inlineStr">
        <is>
          <t>월 / 제품 (매출액)</t>
        </is>
      </c>
      <c r="C2" s="1" t="inlineStr">
        <is>
          <t>베이직</t>
        </is>
      </c>
      <c r="D2" s="1" t="inlineStr">
        <is>
          <t>프리미엄</t>
        </is>
      </c>
      <c r="E2" s="1" t="inlineStr">
        <is>
          <t>엔터프라이즈</t>
        </is>
      </c>
      <c r="F2" s="1" t="inlineStr">
        <is>
          <t>합계</t>
        </is>
      </c>
    </row>
    <row r="3">
      <c r="B3" s="2" t="inlineStr">
        <is>
          <t>1월</t>
        </is>
      </c>
      <c r="C3" s="3">
        <f>SUMIFS('Raw Data'!$E$3:$E$38, 'Raw Data'!$B$3:$B$38, $B3, 'Raw Data'!$C$3:$C$38, C$2)</f>
        <v/>
      </c>
      <c r="D3" s="3">
        <f>SUMIFS('Raw Data'!$E$3:$E$38, 'Raw Data'!$B$3:$B$38, $B3, 'Raw Data'!$C$3:$C$38, D$2)</f>
        <v/>
      </c>
      <c r="E3" s="3">
        <f>SUMIFS('Raw Data'!$E$3:$E$38, 'Raw Data'!$B$3:$B$38, $B3, 'Raw Data'!$C$3:$C$38, E$2)</f>
        <v/>
      </c>
      <c r="F3" s="8">
        <f>SUM(C3:E3)</f>
        <v/>
      </c>
    </row>
    <row r="4">
      <c r="B4" s="4" t="inlineStr">
        <is>
          <t>2월</t>
        </is>
      </c>
      <c r="C4" s="5">
        <f>SUMIFS('Raw Data'!$E$3:$E$38, 'Raw Data'!$B$3:$B$38, $B4, 'Raw Data'!$C$3:$C$38, C$2)</f>
        <v/>
      </c>
      <c r="D4" s="5">
        <f>SUMIFS('Raw Data'!$E$3:$E$38, 'Raw Data'!$B$3:$B$38, $B4, 'Raw Data'!$C$3:$C$38, D$2)</f>
        <v/>
      </c>
      <c r="E4" s="5">
        <f>SUMIFS('Raw Data'!$E$3:$E$38, 'Raw Data'!$B$3:$B$38, $B4, 'Raw Data'!$C$3:$C$38, E$2)</f>
        <v/>
      </c>
      <c r="F4" s="9">
        <f>SUM(C4:E4)</f>
        <v/>
      </c>
    </row>
    <row r="5">
      <c r="B5" s="2" t="inlineStr">
        <is>
          <t>3월</t>
        </is>
      </c>
      <c r="C5" s="3">
        <f>SUMIFS('Raw Data'!$E$3:$E$38, 'Raw Data'!$B$3:$B$38, $B5, 'Raw Data'!$C$3:$C$38, C$2)</f>
        <v/>
      </c>
      <c r="D5" s="3">
        <f>SUMIFS('Raw Data'!$E$3:$E$38, 'Raw Data'!$B$3:$B$38, $B5, 'Raw Data'!$C$3:$C$38, D$2)</f>
        <v/>
      </c>
      <c r="E5" s="3">
        <f>SUMIFS('Raw Data'!$E$3:$E$38, 'Raw Data'!$B$3:$B$38, $B5, 'Raw Data'!$C$3:$C$38, E$2)</f>
        <v/>
      </c>
      <c r="F5" s="8">
        <f>SUM(C5:E5)</f>
        <v/>
      </c>
    </row>
    <row r="6">
      <c r="B6" s="4" t="inlineStr">
        <is>
          <t>4월</t>
        </is>
      </c>
      <c r="C6" s="5">
        <f>SUMIFS('Raw Data'!$E$3:$E$38, 'Raw Data'!$B$3:$B$38, $B6, 'Raw Data'!$C$3:$C$38, C$2)</f>
        <v/>
      </c>
      <c r="D6" s="5">
        <f>SUMIFS('Raw Data'!$E$3:$E$38, 'Raw Data'!$B$3:$B$38, $B6, 'Raw Data'!$C$3:$C$38, D$2)</f>
        <v/>
      </c>
      <c r="E6" s="5">
        <f>SUMIFS('Raw Data'!$E$3:$E$38, 'Raw Data'!$B$3:$B$38, $B6, 'Raw Data'!$C$3:$C$38, E$2)</f>
        <v/>
      </c>
      <c r="F6" s="9">
        <f>SUM(C6:E6)</f>
        <v/>
      </c>
    </row>
    <row r="7">
      <c r="B7" s="2" t="inlineStr">
        <is>
          <t>5월</t>
        </is>
      </c>
      <c r="C7" s="3">
        <f>SUMIFS('Raw Data'!$E$3:$E$38, 'Raw Data'!$B$3:$B$38, $B7, 'Raw Data'!$C$3:$C$38, C$2)</f>
        <v/>
      </c>
      <c r="D7" s="3">
        <f>SUMIFS('Raw Data'!$E$3:$E$38, 'Raw Data'!$B$3:$B$38, $B7, 'Raw Data'!$C$3:$C$38, D$2)</f>
        <v/>
      </c>
      <c r="E7" s="3">
        <f>SUMIFS('Raw Data'!$E$3:$E$38, 'Raw Data'!$B$3:$B$38, $B7, 'Raw Data'!$C$3:$C$38, E$2)</f>
        <v/>
      </c>
      <c r="F7" s="8">
        <f>SUM(C7:E7)</f>
        <v/>
      </c>
    </row>
    <row r="8">
      <c r="B8" s="4" t="inlineStr">
        <is>
          <t>6월</t>
        </is>
      </c>
      <c r="C8" s="5">
        <f>SUMIFS('Raw Data'!$E$3:$E$38, 'Raw Data'!$B$3:$B$38, $B8, 'Raw Data'!$C$3:$C$38, C$2)</f>
        <v/>
      </c>
      <c r="D8" s="5">
        <f>SUMIFS('Raw Data'!$E$3:$E$38, 'Raw Data'!$B$3:$B$38, $B8, 'Raw Data'!$C$3:$C$38, D$2)</f>
        <v/>
      </c>
      <c r="E8" s="5">
        <f>SUMIFS('Raw Data'!$E$3:$E$38, 'Raw Data'!$B$3:$B$38, $B8, 'Raw Data'!$C$3:$C$38, E$2)</f>
        <v/>
      </c>
      <c r="F8" s="9">
        <f>SUM(C8:E8)</f>
        <v/>
      </c>
    </row>
    <row r="9">
      <c r="B9" s="2" t="inlineStr">
        <is>
          <t>7월</t>
        </is>
      </c>
      <c r="C9" s="3">
        <f>SUMIFS('Raw Data'!$E$3:$E$38, 'Raw Data'!$B$3:$B$38, $B9, 'Raw Data'!$C$3:$C$38, C$2)</f>
        <v/>
      </c>
      <c r="D9" s="3">
        <f>SUMIFS('Raw Data'!$E$3:$E$38, 'Raw Data'!$B$3:$B$38, $B9, 'Raw Data'!$C$3:$C$38, D$2)</f>
        <v/>
      </c>
      <c r="E9" s="3">
        <f>SUMIFS('Raw Data'!$E$3:$E$38, 'Raw Data'!$B$3:$B$38, $B9, 'Raw Data'!$C$3:$C$38, E$2)</f>
        <v/>
      </c>
      <c r="F9" s="8">
        <f>SUM(C9:E9)</f>
        <v/>
      </c>
    </row>
    <row r="10">
      <c r="B10" s="4" t="inlineStr">
        <is>
          <t>8월</t>
        </is>
      </c>
      <c r="C10" s="5">
        <f>SUMIFS('Raw Data'!$E$3:$E$38, 'Raw Data'!$B$3:$B$38, $B10, 'Raw Data'!$C$3:$C$38, C$2)</f>
        <v/>
      </c>
      <c r="D10" s="5">
        <f>SUMIFS('Raw Data'!$E$3:$E$38, 'Raw Data'!$B$3:$B$38, $B10, 'Raw Data'!$C$3:$C$38, D$2)</f>
        <v/>
      </c>
      <c r="E10" s="5">
        <f>SUMIFS('Raw Data'!$E$3:$E$38, 'Raw Data'!$B$3:$B$38, $B10, 'Raw Data'!$C$3:$C$38, E$2)</f>
        <v/>
      </c>
      <c r="F10" s="9">
        <f>SUM(C10:E10)</f>
        <v/>
      </c>
    </row>
    <row r="11">
      <c r="B11" s="2" t="inlineStr">
        <is>
          <t>9월</t>
        </is>
      </c>
      <c r="C11" s="3">
        <f>SUMIFS('Raw Data'!$E$3:$E$38, 'Raw Data'!$B$3:$B$38, $B11, 'Raw Data'!$C$3:$C$38, C$2)</f>
        <v/>
      </c>
      <c r="D11" s="3">
        <f>SUMIFS('Raw Data'!$E$3:$E$38, 'Raw Data'!$B$3:$B$38, $B11, 'Raw Data'!$C$3:$C$38, D$2)</f>
        <v/>
      </c>
      <c r="E11" s="3">
        <f>SUMIFS('Raw Data'!$E$3:$E$38, 'Raw Data'!$B$3:$B$38, $B11, 'Raw Data'!$C$3:$C$38, E$2)</f>
        <v/>
      </c>
      <c r="F11" s="8">
        <f>SUM(C11:E11)</f>
        <v/>
      </c>
    </row>
    <row r="12">
      <c r="B12" s="4" t="inlineStr">
        <is>
          <t>10월</t>
        </is>
      </c>
      <c r="C12" s="5">
        <f>SUMIFS('Raw Data'!$E$3:$E$38, 'Raw Data'!$B$3:$B$38, $B12, 'Raw Data'!$C$3:$C$38, C$2)</f>
        <v/>
      </c>
      <c r="D12" s="5">
        <f>SUMIFS('Raw Data'!$E$3:$E$38, 'Raw Data'!$B$3:$B$38, $B12, 'Raw Data'!$C$3:$C$38, D$2)</f>
        <v/>
      </c>
      <c r="E12" s="5">
        <f>SUMIFS('Raw Data'!$E$3:$E$38, 'Raw Data'!$B$3:$B$38, $B12, 'Raw Data'!$C$3:$C$38, E$2)</f>
        <v/>
      </c>
      <c r="F12" s="9">
        <f>SUM(C12:E12)</f>
        <v/>
      </c>
    </row>
    <row r="13">
      <c r="B13" s="2" t="inlineStr">
        <is>
          <t>11월</t>
        </is>
      </c>
      <c r="C13" s="3">
        <f>SUMIFS('Raw Data'!$E$3:$E$38, 'Raw Data'!$B$3:$B$38, $B13, 'Raw Data'!$C$3:$C$38, C$2)</f>
        <v/>
      </c>
      <c r="D13" s="3">
        <f>SUMIFS('Raw Data'!$E$3:$E$38, 'Raw Data'!$B$3:$B$38, $B13, 'Raw Data'!$C$3:$C$38, D$2)</f>
        <v/>
      </c>
      <c r="E13" s="3">
        <f>SUMIFS('Raw Data'!$E$3:$E$38, 'Raw Data'!$B$3:$B$38, $B13, 'Raw Data'!$C$3:$C$38, E$2)</f>
        <v/>
      </c>
      <c r="F13" s="8">
        <f>SUM(C13:E13)</f>
        <v/>
      </c>
    </row>
    <row r="14">
      <c r="B14" s="4" t="inlineStr">
        <is>
          <t>12월</t>
        </is>
      </c>
      <c r="C14" s="5">
        <f>SUMIFS('Raw Data'!$E$3:$E$38, 'Raw Data'!$B$3:$B$38, $B14, 'Raw Data'!$C$3:$C$38, C$2)</f>
        <v/>
      </c>
      <c r="D14" s="5">
        <f>SUMIFS('Raw Data'!$E$3:$E$38, 'Raw Data'!$B$3:$B$38, $B14, 'Raw Data'!$C$3:$C$38, D$2)</f>
        <v/>
      </c>
      <c r="E14" s="5">
        <f>SUMIFS('Raw Data'!$E$3:$E$38, 'Raw Data'!$B$3:$B$38, $B14, 'Raw Data'!$C$3:$C$38, E$2)</f>
        <v/>
      </c>
      <c r="F14" s="9">
        <f>SUM(C14:E14)</f>
        <v/>
      </c>
    </row>
    <row r="15">
      <c r="B15" s="6" t="inlineStr">
        <is>
          <t>합계</t>
        </is>
      </c>
      <c r="C15" s="7">
        <f>SUM(C3:C14)</f>
        <v/>
      </c>
      <c r="D15" s="7">
        <f>SUM(D3:D14)</f>
        <v/>
      </c>
      <c r="E15" s="7">
        <f>SUM(E3:E14)</f>
        <v/>
      </c>
      <c r="F15" s="7">
        <f>SUM(F3:F14)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/>
    <row r="2">
      <c r="B2" s="1" t="inlineStr">
        <is>
          <t>월 / 제품 (수량)</t>
        </is>
      </c>
      <c r="C2" s="1" t="inlineStr">
        <is>
          <t>베이직</t>
        </is>
      </c>
      <c r="D2" s="1" t="inlineStr">
        <is>
          <t>프리미엄</t>
        </is>
      </c>
      <c r="E2" s="1" t="inlineStr">
        <is>
          <t>엔터프라이즈</t>
        </is>
      </c>
      <c r="F2" s="1" t="inlineStr">
        <is>
          <t>합계</t>
        </is>
      </c>
    </row>
    <row r="3">
      <c r="B3" s="2" t="inlineStr">
        <is>
          <t>1월</t>
        </is>
      </c>
      <c r="C3" s="10">
        <f>SUMIFS('Raw Data'!$D$3:$D$38, 'Raw Data'!$B$3:$B$38, $B3, 'Raw Data'!$C$3:$C$38, C$2)</f>
        <v/>
      </c>
      <c r="D3" s="10">
        <f>SUMIFS('Raw Data'!$D$3:$D$38, 'Raw Data'!$B$3:$B$38, $B3, 'Raw Data'!$C$3:$C$38, D$2)</f>
        <v/>
      </c>
      <c r="E3" s="10">
        <f>SUMIFS('Raw Data'!$D$3:$D$38, 'Raw Data'!$B$3:$B$38, $B3, 'Raw Data'!$C$3:$C$38, E$2)</f>
        <v/>
      </c>
      <c r="F3" s="11">
        <f>SUM(C3:E3)</f>
        <v/>
      </c>
    </row>
    <row r="4">
      <c r="B4" s="4" t="inlineStr">
        <is>
          <t>2월</t>
        </is>
      </c>
      <c r="C4" s="12">
        <f>SUMIFS('Raw Data'!$D$3:$D$38, 'Raw Data'!$B$3:$B$38, $B4, 'Raw Data'!$C$3:$C$38, C$2)</f>
        <v/>
      </c>
      <c r="D4" s="12">
        <f>SUMIFS('Raw Data'!$D$3:$D$38, 'Raw Data'!$B$3:$B$38, $B4, 'Raw Data'!$C$3:$C$38, D$2)</f>
        <v/>
      </c>
      <c r="E4" s="12">
        <f>SUMIFS('Raw Data'!$D$3:$D$38, 'Raw Data'!$B$3:$B$38, $B4, 'Raw Data'!$C$3:$C$38, E$2)</f>
        <v/>
      </c>
      <c r="F4" s="13">
        <f>SUM(C4:E4)</f>
        <v/>
      </c>
    </row>
    <row r="5">
      <c r="B5" s="2" t="inlineStr">
        <is>
          <t>3월</t>
        </is>
      </c>
      <c r="C5" s="10">
        <f>SUMIFS('Raw Data'!$D$3:$D$38, 'Raw Data'!$B$3:$B$38, $B5, 'Raw Data'!$C$3:$C$38, C$2)</f>
        <v/>
      </c>
      <c r="D5" s="10">
        <f>SUMIFS('Raw Data'!$D$3:$D$38, 'Raw Data'!$B$3:$B$38, $B5, 'Raw Data'!$C$3:$C$38, D$2)</f>
        <v/>
      </c>
      <c r="E5" s="10">
        <f>SUMIFS('Raw Data'!$D$3:$D$38, 'Raw Data'!$B$3:$B$38, $B5, 'Raw Data'!$C$3:$C$38, E$2)</f>
        <v/>
      </c>
      <c r="F5" s="11">
        <f>SUM(C5:E5)</f>
        <v/>
      </c>
    </row>
    <row r="6">
      <c r="B6" s="4" t="inlineStr">
        <is>
          <t>4월</t>
        </is>
      </c>
      <c r="C6" s="12">
        <f>SUMIFS('Raw Data'!$D$3:$D$38, 'Raw Data'!$B$3:$B$38, $B6, 'Raw Data'!$C$3:$C$38, C$2)</f>
        <v/>
      </c>
      <c r="D6" s="12">
        <f>SUMIFS('Raw Data'!$D$3:$D$38, 'Raw Data'!$B$3:$B$38, $B6, 'Raw Data'!$C$3:$C$38, D$2)</f>
        <v/>
      </c>
      <c r="E6" s="12">
        <f>SUMIFS('Raw Data'!$D$3:$D$38, 'Raw Data'!$B$3:$B$38, $B6, 'Raw Data'!$C$3:$C$38, E$2)</f>
        <v/>
      </c>
      <c r="F6" s="13">
        <f>SUM(C6:E6)</f>
        <v/>
      </c>
    </row>
    <row r="7">
      <c r="B7" s="2" t="inlineStr">
        <is>
          <t>5월</t>
        </is>
      </c>
      <c r="C7" s="10">
        <f>SUMIFS('Raw Data'!$D$3:$D$38, 'Raw Data'!$B$3:$B$38, $B7, 'Raw Data'!$C$3:$C$38, C$2)</f>
        <v/>
      </c>
      <c r="D7" s="10">
        <f>SUMIFS('Raw Data'!$D$3:$D$38, 'Raw Data'!$B$3:$B$38, $B7, 'Raw Data'!$C$3:$C$38, D$2)</f>
        <v/>
      </c>
      <c r="E7" s="10">
        <f>SUMIFS('Raw Data'!$D$3:$D$38, 'Raw Data'!$B$3:$B$38, $B7, 'Raw Data'!$C$3:$C$38, E$2)</f>
        <v/>
      </c>
      <c r="F7" s="11">
        <f>SUM(C7:E7)</f>
        <v/>
      </c>
    </row>
    <row r="8">
      <c r="B8" s="4" t="inlineStr">
        <is>
          <t>6월</t>
        </is>
      </c>
      <c r="C8" s="12">
        <f>SUMIFS('Raw Data'!$D$3:$D$38, 'Raw Data'!$B$3:$B$38, $B8, 'Raw Data'!$C$3:$C$38, C$2)</f>
        <v/>
      </c>
      <c r="D8" s="12">
        <f>SUMIFS('Raw Data'!$D$3:$D$38, 'Raw Data'!$B$3:$B$38, $B8, 'Raw Data'!$C$3:$C$38, D$2)</f>
        <v/>
      </c>
      <c r="E8" s="12">
        <f>SUMIFS('Raw Data'!$D$3:$D$38, 'Raw Data'!$B$3:$B$38, $B8, 'Raw Data'!$C$3:$C$38, E$2)</f>
        <v/>
      </c>
      <c r="F8" s="13">
        <f>SUM(C8:E8)</f>
        <v/>
      </c>
    </row>
    <row r="9">
      <c r="B9" s="2" t="inlineStr">
        <is>
          <t>7월</t>
        </is>
      </c>
      <c r="C9" s="10">
        <f>SUMIFS('Raw Data'!$D$3:$D$38, 'Raw Data'!$B$3:$B$38, $B9, 'Raw Data'!$C$3:$C$38, C$2)</f>
        <v/>
      </c>
      <c r="D9" s="10">
        <f>SUMIFS('Raw Data'!$D$3:$D$38, 'Raw Data'!$B$3:$B$38, $B9, 'Raw Data'!$C$3:$C$38, D$2)</f>
        <v/>
      </c>
      <c r="E9" s="10">
        <f>SUMIFS('Raw Data'!$D$3:$D$38, 'Raw Data'!$B$3:$B$38, $B9, 'Raw Data'!$C$3:$C$38, E$2)</f>
        <v/>
      </c>
      <c r="F9" s="11">
        <f>SUM(C9:E9)</f>
        <v/>
      </c>
    </row>
    <row r="10">
      <c r="B10" s="4" t="inlineStr">
        <is>
          <t>8월</t>
        </is>
      </c>
      <c r="C10" s="12">
        <f>SUMIFS('Raw Data'!$D$3:$D$38, 'Raw Data'!$B$3:$B$38, $B10, 'Raw Data'!$C$3:$C$38, C$2)</f>
        <v/>
      </c>
      <c r="D10" s="12">
        <f>SUMIFS('Raw Data'!$D$3:$D$38, 'Raw Data'!$B$3:$B$38, $B10, 'Raw Data'!$C$3:$C$38, D$2)</f>
        <v/>
      </c>
      <c r="E10" s="12">
        <f>SUMIFS('Raw Data'!$D$3:$D$38, 'Raw Data'!$B$3:$B$38, $B10, 'Raw Data'!$C$3:$C$38, E$2)</f>
        <v/>
      </c>
      <c r="F10" s="13">
        <f>SUM(C10:E10)</f>
        <v/>
      </c>
    </row>
    <row r="11">
      <c r="B11" s="2" t="inlineStr">
        <is>
          <t>9월</t>
        </is>
      </c>
      <c r="C11" s="10">
        <f>SUMIFS('Raw Data'!$D$3:$D$38, 'Raw Data'!$B$3:$B$38, $B11, 'Raw Data'!$C$3:$C$38, C$2)</f>
        <v/>
      </c>
      <c r="D11" s="10">
        <f>SUMIFS('Raw Data'!$D$3:$D$38, 'Raw Data'!$B$3:$B$38, $B11, 'Raw Data'!$C$3:$C$38, D$2)</f>
        <v/>
      </c>
      <c r="E11" s="10">
        <f>SUMIFS('Raw Data'!$D$3:$D$38, 'Raw Data'!$B$3:$B$38, $B11, 'Raw Data'!$C$3:$C$38, E$2)</f>
        <v/>
      </c>
      <c r="F11" s="11">
        <f>SUM(C11:E11)</f>
        <v/>
      </c>
    </row>
    <row r="12">
      <c r="B12" s="4" t="inlineStr">
        <is>
          <t>10월</t>
        </is>
      </c>
      <c r="C12" s="12">
        <f>SUMIFS('Raw Data'!$D$3:$D$38, 'Raw Data'!$B$3:$B$38, $B12, 'Raw Data'!$C$3:$C$38, C$2)</f>
        <v/>
      </c>
      <c r="D12" s="12">
        <f>SUMIFS('Raw Data'!$D$3:$D$38, 'Raw Data'!$B$3:$B$38, $B12, 'Raw Data'!$C$3:$C$38, D$2)</f>
        <v/>
      </c>
      <c r="E12" s="12">
        <f>SUMIFS('Raw Data'!$D$3:$D$38, 'Raw Data'!$B$3:$B$38, $B12, 'Raw Data'!$C$3:$C$38, E$2)</f>
        <v/>
      </c>
      <c r="F12" s="13">
        <f>SUM(C12:E12)</f>
        <v/>
      </c>
    </row>
    <row r="13">
      <c r="B13" s="2" t="inlineStr">
        <is>
          <t>11월</t>
        </is>
      </c>
      <c r="C13" s="10">
        <f>SUMIFS('Raw Data'!$D$3:$D$38, 'Raw Data'!$B$3:$B$38, $B13, 'Raw Data'!$C$3:$C$38, C$2)</f>
        <v/>
      </c>
      <c r="D13" s="10">
        <f>SUMIFS('Raw Data'!$D$3:$D$38, 'Raw Data'!$B$3:$B$38, $B13, 'Raw Data'!$C$3:$C$38, D$2)</f>
        <v/>
      </c>
      <c r="E13" s="10">
        <f>SUMIFS('Raw Data'!$D$3:$D$38, 'Raw Data'!$B$3:$B$38, $B13, 'Raw Data'!$C$3:$C$38, E$2)</f>
        <v/>
      </c>
      <c r="F13" s="11">
        <f>SUM(C13:E13)</f>
        <v/>
      </c>
    </row>
    <row r="14">
      <c r="B14" s="4" t="inlineStr">
        <is>
          <t>12월</t>
        </is>
      </c>
      <c r="C14" s="12">
        <f>SUMIFS('Raw Data'!$D$3:$D$38, 'Raw Data'!$B$3:$B$38, $B14, 'Raw Data'!$C$3:$C$38, C$2)</f>
        <v/>
      </c>
      <c r="D14" s="12">
        <f>SUMIFS('Raw Data'!$D$3:$D$38, 'Raw Data'!$B$3:$B$38, $B14, 'Raw Data'!$C$3:$C$38, D$2)</f>
        <v/>
      </c>
      <c r="E14" s="12">
        <f>SUMIFS('Raw Data'!$D$3:$D$38, 'Raw Data'!$B$3:$B$38, $B14, 'Raw Data'!$C$3:$C$38, E$2)</f>
        <v/>
      </c>
      <c r="F14" s="13">
        <f>SUM(C14:E14)</f>
        <v/>
      </c>
    </row>
    <row r="15">
      <c r="B15" s="6" t="inlineStr">
        <is>
          <t>합계</t>
        </is>
      </c>
      <c r="C15" s="14">
        <f>SUM(C3:C14)</f>
        <v/>
      </c>
      <c r="D15" s="14">
        <f>SUM(D3:D14)</f>
        <v/>
      </c>
      <c r="E15" s="14">
        <f>SUM(E3:E14)</f>
        <v/>
      </c>
      <c r="F15" s="14">
        <f>SUM(F3:F14)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/>
    <row r="2">
      <c r="B2" s="1" t="inlineStr">
        <is>
          <t>분기</t>
        </is>
      </c>
      <c r="C2" s="1" t="inlineStr">
        <is>
          <t>베이직</t>
        </is>
      </c>
      <c r="D2" s="1" t="inlineStr">
        <is>
          <t>프리미엄</t>
        </is>
      </c>
      <c r="E2" s="1" t="inlineStr">
        <is>
          <t>엔터프라이즈</t>
        </is>
      </c>
      <c r="F2" s="1" t="inlineStr">
        <is>
          <t>합계</t>
        </is>
      </c>
    </row>
    <row r="3">
      <c r="B3" s="2" t="inlineStr">
        <is>
          <t>1분기</t>
        </is>
      </c>
      <c r="C3" s="3">
        <f>SUM('월별 매출 분석'!C3:C5)</f>
        <v/>
      </c>
      <c r="D3" s="3">
        <f>SUM('월별 매출 분석'!D3:D5)</f>
        <v/>
      </c>
      <c r="E3" s="3">
        <f>SUM('월별 매출 분석'!E3:E5)</f>
        <v/>
      </c>
      <c r="F3" s="8">
        <f>SUM(C3:E3)</f>
        <v/>
      </c>
    </row>
    <row r="4">
      <c r="B4" s="4" t="inlineStr">
        <is>
          <t>2분기</t>
        </is>
      </c>
      <c r="C4" s="5">
        <f>SUM('월별 매출 분석'!C6:C8)</f>
        <v/>
      </c>
      <c r="D4" s="5">
        <f>SUM('월별 매출 분석'!D6:D8)</f>
        <v/>
      </c>
      <c r="E4" s="5">
        <f>SUM('월별 매출 분석'!E6:E8)</f>
        <v/>
      </c>
      <c r="F4" s="9">
        <f>SUM(C4:E4)</f>
        <v/>
      </c>
    </row>
    <row r="5">
      <c r="B5" s="2" t="inlineStr">
        <is>
          <t>3분기</t>
        </is>
      </c>
      <c r="C5" s="3">
        <f>SUM('월별 매출 분석'!C9:C11)</f>
        <v/>
      </c>
      <c r="D5" s="3">
        <f>SUM('월별 매출 분석'!D9:D11)</f>
        <v/>
      </c>
      <c r="E5" s="3">
        <f>SUM('월별 매출 분석'!E9:E11)</f>
        <v/>
      </c>
      <c r="F5" s="8">
        <f>SUM(C5:E5)</f>
        <v/>
      </c>
    </row>
    <row r="6">
      <c r="B6" s="4" t="inlineStr">
        <is>
          <t>4분기</t>
        </is>
      </c>
      <c r="C6" s="5">
        <f>SUM('월별 매출 분석'!C12:C14)</f>
        <v/>
      </c>
      <c r="D6" s="5">
        <f>SUM('월별 매출 분석'!D12:D14)</f>
        <v/>
      </c>
      <c r="E6" s="5">
        <f>SUM('월별 매출 분석'!E12:E14)</f>
        <v/>
      </c>
      <c r="F6" s="9">
        <f>SUM(C6:E6)</f>
        <v/>
      </c>
    </row>
    <row r="7">
      <c r="B7" s="6" t="inlineStr">
        <is>
          <t>합계</t>
        </is>
      </c>
      <c r="C7" s="7">
        <f>SUM(C3:C6)</f>
        <v/>
      </c>
      <c r="D7" s="7">
        <f>SUM(D3:D6)</f>
        <v/>
      </c>
      <c r="E7" s="7">
        <f>SUM(E3:E6)</f>
        <v/>
      </c>
      <c r="F7" s="7">
        <f>SUM(F3:F6)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/>
    <row r="2">
      <c r="B2" s="1" t="inlineStr">
        <is>
          <t>월</t>
        </is>
      </c>
      <c r="C2" s="1" t="inlineStr">
        <is>
          <t>제품</t>
        </is>
      </c>
      <c r="D2" s="1" t="inlineStr">
        <is>
          <t>판매수량</t>
        </is>
      </c>
      <c r="E2" s="1" t="inlineStr">
        <is>
          <t>매출액</t>
        </is>
      </c>
    </row>
    <row r="3">
      <c r="B3" s="15" t="inlineStr">
        <is>
          <t>1월</t>
        </is>
      </c>
      <c r="C3" s="15" t="inlineStr">
        <is>
          <t>베이직</t>
        </is>
      </c>
      <c r="D3" s="10" t="n">
        <v>39</v>
      </c>
      <c r="E3" s="3" t="n">
        <v>386100</v>
      </c>
    </row>
    <row r="4">
      <c r="B4" s="16" t="inlineStr">
        <is>
          <t>1월</t>
        </is>
      </c>
      <c r="C4" s="16" t="inlineStr">
        <is>
          <t>프리미엄</t>
        </is>
      </c>
      <c r="D4" s="12" t="n">
        <v>40</v>
      </c>
      <c r="E4" s="5" t="n">
        <v>1188000</v>
      </c>
    </row>
    <row r="5">
      <c r="B5" s="15" t="inlineStr">
        <is>
          <t>1월</t>
        </is>
      </c>
      <c r="C5" s="15" t="inlineStr">
        <is>
          <t>엔터프라이즈</t>
        </is>
      </c>
      <c r="D5" s="10" t="n">
        <v>32</v>
      </c>
      <c r="E5" s="3" t="n">
        <v>3168000</v>
      </c>
    </row>
    <row r="6">
      <c r="B6" s="16" t="inlineStr">
        <is>
          <t>2월</t>
        </is>
      </c>
      <c r="C6" s="16" t="inlineStr">
        <is>
          <t>베이직</t>
        </is>
      </c>
      <c r="D6" s="12" t="n">
        <v>60</v>
      </c>
      <c r="E6" s="5" t="n">
        <v>594000</v>
      </c>
    </row>
    <row r="7">
      <c r="B7" s="15" t="inlineStr">
        <is>
          <t>2월</t>
        </is>
      </c>
      <c r="C7" s="15" t="inlineStr">
        <is>
          <t>프리미엄</t>
        </is>
      </c>
      <c r="D7" s="10" t="n">
        <v>56</v>
      </c>
      <c r="E7" s="3" t="n">
        <v>1663200</v>
      </c>
    </row>
    <row r="8">
      <c r="B8" s="16" t="inlineStr">
        <is>
          <t>2월</t>
        </is>
      </c>
      <c r="C8" s="16" t="inlineStr">
        <is>
          <t>엔터프라이즈</t>
        </is>
      </c>
      <c r="D8" s="12" t="n">
        <v>50</v>
      </c>
      <c r="E8" s="5" t="n">
        <v>4950000</v>
      </c>
    </row>
    <row r="9">
      <c r="B9" s="15" t="inlineStr">
        <is>
          <t>3월</t>
        </is>
      </c>
      <c r="C9" s="15" t="inlineStr">
        <is>
          <t>베이직</t>
        </is>
      </c>
      <c r="D9" s="10" t="n">
        <v>15</v>
      </c>
      <c r="E9" s="3" t="n">
        <v>148500</v>
      </c>
    </row>
    <row r="10">
      <c r="B10" s="16" t="inlineStr">
        <is>
          <t>3월</t>
        </is>
      </c>
      <c r="C10" s="16" t="inlineStr">
        <is>
          <t>프리미엄</t>
        </is>
      </c>
      <c r="D10" s="12" t="n">
        <v>45</v>
      </c>
      <c r="E10" s="5" t="n">
        <v>1336500</v>
      </c>
    </row>
    <row r="11">
      <c r="B11" s="15" t="inlineStr">
        <is>
          <t>3월</t>
        </is>
      </c>
      <c r="C11" s="15" t="inlineStr">
        <is>
          <t>엔터프라이즈</t>
        </is>
      </c>
      <c r="D11" s="10" t="n">
        <v>6</v>
      </c>
      <c r="E11" s="3" t="n">
        <v>594000</v>
      </c>
    </row>
    <row r="12">
      <c r="B12" s="16" t="inlineStr">
        <is>
          <t>4월</t>
        </is>
      </c>
      <c r="C12" s="16" t="inlineStr">
        <is>
          <t>베이직</t>
        </is>
      </c>
      <c r="D12" s="12" t="n">
        <v>57</v>
      </c>
      <c r="E12" s="5" t="n">
        <v>564300</v>
      </c>
    </row>
    <row r="13">
      <c r="B13" s="15" t="inlineStr">
        <is>
          <t>4월</t>
        </is>
      </c>
      <c r="C13" s="15" t="inlineStr">
        <is>
          <t>프리미엄</t>
        </is>
      </c>
      <c r="D13" s="10" t="n">
        <v>20</v>
      </c>
      <c r="E13" s="3" t="n">
        <v>594000</v>
      </c>
    </row>
    <row r="14">
      <c r="B14" s="16" t="inlineStr">
        <is>
          <t>4월</t>
        </is>
      </c>
      <c r="C14" s="16" t="inlineStr">
        <is>
          <t>엔터프라이즈</t>
        </is>
      </c>
      <c r="D14" s="12" t="n">
        <v>58</v>
      </c>
      <c r="E14" s="5" t="n">
        <v>5742000</v>
      </c>
    </row>
    <row r="15">
      <c r="B15" s="15" t="inlineStr">
        <is>
          <t>5월</t>
        </is>
      </c>
      <c r="C15" s="15" t="inlineStr">
        <is>
          <t>베이직</t>
        </is>
      </c>
      <c r="D15" s="10" t="n">
        <v>15</v>
      </c>
      <c r="E15" s="3" t="n">
        <v>148500</v>
      </c>
    </row>
    <row r="16">
      <c r="B16" s="16" t="inlineStr">
        <is>
          <t>5월</t>
        </is>
      </c>
      <c r="C16" s="16" t="inlineStr">
        <is>
          <t>프리미엄</t>
        </is>
      </c>
      <c r="D16" s="12" t="n">
        <v>40</v>
      </c>
      <c r="E16" s="5" t="n">
        <v>1188000</v>
      </c>
    </row>
    <row r="17">
      <c r="B17" s="15" t="inlineStr">
        <is>
          <t>5월</t>
        </is>
      </c>
      <c r="C17" s="15" t="inlineStr">
        <is>
          <t>엔터프라이즈</t>
        </is>
      </c>
      <c r="D17" s="10" t="n">
        <v>36</v>
      </c>
      <c r="E17" s="3" t="n">
        <v>3564000</v>
      </c>
    </row>
    <row r="18">
      <c r="B18" s="16" t="inlineStr">
        <is>
          <t>6월</t>
        </is>
      </c>
      <c r="C18" s="16" t="inlineStr">
        <is>
          <t>베이직</t>
        </is>
      </c>
      <c r="D18" s="12" t="n">
        <v>53</v>
      </c>
      <c r="E18" s="5" t="n">
        <v>524700</v>
      </c>
    </row>
    <row r="19">
      <c r="B19" s="15" t="inlineStr">
        <is>
          <t>6월</t>
        </is>
      </c>
      <c r="C19" s="15" t="inlineStr">
        <is>
          <t>프리미엄</t>
        </is>
      </c>
      <c r="D19" s="10" t="n">
        <v>39</v>
      </c>
      <c r="E19" s="3" t="n">
        <v>1158300</v>
      </c>
    </row>
    <row r="20">
      <c r="B20" s="16" t="inlineStr">
        <is>
          <t>6월</t>
        </is>
      </c>
      <c r="C20" s="16" t="inlineStr">
        <is>
          <t>엔터프라이즈</t>
        </is>
      </c>
      <c r="D20" s="12" t="n">
        <v>14</v>
      </c>
      <c r="E20" s="5" t="n">
        <v>1386000</v>
      </c>
    </row>
    <row r="21">
      <c r="B21" s="15" t="inlineStr">
        <is>
          <t>7월</t>
        </is>
      </c>
      <c r="C21" s="15" t="inlineStr">
        <is>
          <t>베이직</t>
        </is>
      </c>
      <c r="D21" s="10" t="n">
        <v>21</v>
      </c>
      <c r="E21" s="3" t="n">
        <v>207900</v>
      </c>
    </row>
    <row r="22">
      <c r="B22" s="16" t="inlineStr">
        <is>
          <t>7월</t>
        </is>
      </c>
      <c r="C22" s="16" t="inlineStr">
        <is>
          <t>프리미엄</t>
        </is>
      </c>
      <c r="D22" s="12" t="n">
        <v>59</v>
      </c>
      <c r="E22" s="5" t="n">
        <v>1752300</v>
      </c>
    </row>
    <row r="23">
      <c r="B23" s="15" t="inlineStr">
        <is>
          <t>7월</t>
        </is>
      </c>
      <c r="C23" s="15" t="inlineStr">
        <is>
          <t>엔터프라이즈</t>
        </is>
      </c>
      <c r="D23" s="10" t="n">
        <v>40</v>
      </c>
      <c r="E23" s="3" t="n">
        <v>3960000</v>
      </c>
    </row>
    <row r="24">
      <c r="B24" s="16" t="inlineStr">
        <is>
          <t>8월</t>
        </is>
      </c>
      <c r="C24" s="16" t="inlineStr">
        <is>
          <t>베이직</t>
        </is>
      </c>
      <c r="D24" s="12" t="n">
        <v>24</v>
      </c>
      <c r="E24" s="5" t="n">
        <v>237600</v>
      </c>
    </row>
    <row r="25">
      <c r="B25" s="15" t="inlineStr">
        <is>
          <t>8월</t>
        </is>
      </c>
      <c r="C25" s="15" t="inlineStr">
        <is>
          <t>프리미엄</t>
        </is>
      </c>
      <c r="D25" s="10" t="n">
        <v>11</v>
      </c>
      <c r="E25" s="3" t="n">
        <v>326700</v>
      </c>
    </row>
    <row r="26">
      <c r="B26" s="16" t="inlineStr">
        <is>
          <t>8월</t>
        </is>
      </c>
      <c r="C26" s="16" t="inlineStr">
        <is>
          <t>엔터프라이즈</t>
        </is>
      </c>
      <c r="D26" s="12" t="n">
        <v>31</v>
      </c>
      <c r="E26" s="5" t="n">
        <v>3069000</v>
      </c>
    </row>
    <row r="27">
      <c r="B27" s="15" t="inlineStr">
        <is>
          <t>9월</t>
        </is>
      </c>
      <c r="C27" s="15" t="inlineStr">
        <is>
          <t>베이직</t>
        </is>
      </c>
      <c r="D27" s="10" t="n">
        <v>11</v>
      </c>
      <c r="E27" s="3" t="n">
        <v>108900</v>
      </c>
    </row>
    <row r="28">
      <c r="B28" s="16" t="inlineStr">
        <is>
          <t>9월</t>
        </is>
      </c>
      <c r="C28" s="16" t="inlineStr">
        <is>
          <t>프리미엄</t>
        </is>
      </c>
      <c r="D28" s="12" t="n">
        <v>17</v>
      </c>
      <c r="E28" s="5" t="n">
        <v>504900</v>
      </c>
    </row>
    <row r="29">
      <c r="B29" s="15" t="inlineStr">
        <is>
          <t>9월</t>
        </is>
      </c>
      <c r="C29" s="15" t="inlineStr">
        <is>
          <t>엔터프라이즈</t>
        </is>
      </c>
      <c r="D29" s="10" t="n">
        <v>22</v>
      </c>
      <c r="E29" s="3" t="n">
        <v>2178000</v>
      </c>
    </row>
    <row r="30">
      <c r="B30" s="16" t="inlineStr">
        <is>
          <t>10월</t>
        </is>
      </c>
      <c r="C30" s="16" t="inlineStr">
        <is>
          <t>베이직</t>
        </is>
      </c>
      <c r="D30" s="12" t="n">
        <v>13</v>
      </c>
      <c r="E30" s="5" t="n">
        <v>128700</v>
      </c>
    </row>
    <row r="31">
      <c r="B31" s="15" t="inlineStr">
        <is>
          <t>10월</t>
        </is>
      </c>
      <c r="C31" s="15" t="inlineStr">
        <is>
          <t>프리미엄</t>
        </is>
      </c>
      <c r="D31" s="10" t="n">
        <v>48</v>
      </c>
      <c r="E31" s="3" t="n">
        <v>1425600</v>
      </c>
    </row>
    <row r="32">
      <c r="B32" s="16" t="inlineStr">
        <is>
          <t>10월</t>
        </is>
      </c>
      <c r="C32" s="16" t="inlineStr">
        <is>
          <t>엔터프라이즈</t>
        </is>
      </c>
      <c r="D32" s="12" t="n">
        <v>7</v>
      </c>
      <c r="E32" s="5" t="n">
        <v>693000</v>
      </c>
    </row>
    <row r="33">
      <c r="B33" s="15" t="inlineStr">
        <is>
          <t>11월</t>
        </is>
      </c>
      <c r="C33" s="15" t="inlineStr">
        <is>
          <t>베이직</t>
        </is>
      </c>
      <c r="D33" s="10" t="n">
        <v>14</v>
      </c>
      <c r="E33" s="3" t="n">
        <v>138600</v>
      </c>
    </row>
    <row r="34">
      <c r="B34" s="16" t="inlineStr">
        <is>
          <t>11월</t>
        </is>
      </c>
      <c r="C34" s="16" t="inlineStr">
        <is>
          <t>프리미엄</t>
        </is>
      </c>
      <c r="D34" s="12" t="n">
        <v>20</v>
      </c>
      <c r="E34" s="5" t="n">
        <v>594000</v>
      </c>
    </row>
    <row r="35">
      <c r="B35" s="15" t="inlineStr">
        <is>
          <t>11월</t>
        </is>
      </c>
      <c r="C35" s="15" t="inlineStr">
        <is>
          <t>엔터프라이즈</t>
        </is>
      </c>
      <c r="D35" s="10" t="n">
        <v>9</v>
      </c>
      <c r="E35" s="3" t="n">
        <v>891000</v>
      </c>
    </row>
    <row r="36">
      <c r="B36" s="16" t="inlineStr">
        <is>
          <t>12월</t>
        </is>
      </c>
      <c r="C36" s="16" t="inlineStr">
        <is>
          <t>베이직</t>
        </is>
      </c>
      <c r="D36" s="12" t="n">
        <v>22</v>
      </c>
      <c r="E36" s="5" t="n">
        <v>217800</v>
      </c>
    </row>
    <row r="37">
      <c r="B37" s="15" t="inlineStr">
        <is>
          <t>12월</t>
        </is>
      </c>
      <c r="C37" s="15" t="inlineStr">
        <is>
          <t>프리미엄</t>
        </is>
      </c>
      <c r="D37" s="10" t="n">
        <v>55</v>
      </c>
      <c r="E37" s="3" t="n">
        <v>1633500</v>
      </c>
    </row>
    <row r="38">
      <c r="B38" s="16" t="inlineStr">
        <is>
          <t>12월</t>
        </is>
      </c>
      <c r="C38" s="16" t="inlineStr">
        <is>
          <t>엔터프라이즈</t>
        </is>
      </c>
      <c r="D38" s="12" t="n">
        <v>19</v>
      </c>
      <c r="E38" s="5" t="n">
        <v>1881000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2026-06-17T03:11:12Z</dcterms:created>
  <dcterms:modified xsi:type="dcterms:W3CDTF">2026-06-17T03:11:12Z</dcterms:modified>
</cp:coreProperties>
</file>