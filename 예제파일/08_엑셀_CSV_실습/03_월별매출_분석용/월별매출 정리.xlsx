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매출_대시보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제품별 월 매출액 추이 (매출액 기준)</a:t>
            </a:r>
          </a:p>
        </rich>
      </tx>
    </title>
    <plotArea>
      <lineChart>
        <grouping val="standard"/>
        <ser>
          <idx val="0"/>
          <order val="0"/>
          <tx>
            <strRef>
              <f>'월별매출_대시보드'!C2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'월별매출_대시보드'!$B$3:$B$14</f>
            </numRef>
          </cat>
          <val>
            <numRef>
              <f>'월별매출_대시보드'!$C$3:$C$14</f>
            </numRef>
          </val>
        </ser>
        <ser>
          <idx val="1"/>
          <order val="1"/>
          <tx>
            <strRef>
              <f>'월별매출_대시보드'!D2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'월별매출_대시보드'!$B$3:$B$14</f>
            </numRef>
          </cat>
          <val>
            <numRef>
              <f>'월별매출_대시보드'!$D$3:$D$14</f>
            </numRef>
          </val>
        </ser>
        <ser>
          <idx val="2"/>
          <order val="2"/>
          <tx>
            <strRef>
              <f>'월별매출_대시보드'!E2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'월별매출_대시보드'!$B$3:$B$14</f>
            </numRef>
          </cat>
          <val>
            <numRef>
              <f>'월별매출_대시보드'!$E$3:$E$14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매출액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제품별 월 판매수량 비교 (판매량 기준)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'월별매출_대시보드'!C50</f>
            </strRef>
          </tx>
          <spPr>
            <a:ln>
              <a:prstDash val="solid"/>
            </a:ln>
          </spPr>
          <cat>
            <numRef>
              <f>'월별매출_대시보드'!$B$51:$B$62</f>
            </numRef>
          </cat>
          <val>
            <numRef>
              <f>'월별매출_대시보드'!$C$51:$C$62</f>
            </numRef>
          </val>
        </ser>
        <ser>
          <idx val="1"/>
          <order val="1"/>
          <tx>
            <strRef>
              <f>'월별매출_대시보드'!D50</f>
            </strRef>
          </tx>
          <spPr>
            <a:ln>
              <a:prstDash val="solid"/>
            </a:ln>
          </spPr>
          <cat>
            <numRef>
              <f>'월별매출_대시보드'!$B$51:$B$62</f>
            </numRef>
          </cat>
          <val>
            <numRef>
              <f>'월별매출_대시보드'!$D$51:$D$62</f>
            </numRef>
          </val>
        </ser>
        <ser>
          <idx val="2"/>
          <order val="2"/>
          <tx>
            <strRef>
              <f>'월별매출_대시보드'!E50</f>
            </strRef>
          </tx>
          <spPr>
            <a:ln>
              <a:prstDash val="solid"/>
            </a:ln>
          </spPr>
          <cat>
            <numRef>
              <f>'월별매출_대시보드'!$B$51:$B$62</f>
            </numRef>
          </cat>
          <val>
            <numRef>
              <f>'월별매출_대시보드'!$E$51:$E$62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판매수량 (개)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월별 제품 매출 비중 (100% 누적)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'월별매출_대시보드'!C2</f>
            </strRef>
          </tx>
          <spPr>
            <a:ln>
              <a:prstDash val="solid"/>
            </a:ln>
          </spPr>
          <cat>
            <numRef>
              <f>'월별매출_대시보드'!$B$3:$B$14</f>
            </numRef>
          </cat>
          <val>
            <numRef>
              <f>'월별매출_대시보드'!$C$3:$C$14</f>
            </numRef>
          </val>
        </ser>
        <ser>
          <idx val="1"/>
          <order val="1"/>
          <tx>
            <strRef>
              <f>'월별매출_대시보드'!D2</f>
            </strRef>
          </tx>
          <spPr>
            <a:ln>
              <a:prstDash val="solid"/>
            </a:ln>
          </spPr>
          <cat>
            <numRef>
              <f>'월별매출_대시보드'!$B$3:$B$14</f>
            </numRef>
          </cat>
          <val>
            <numRef>
              <f>'월별매출_대시보드'!$D$3:$D$14</f>
            </numRef>
          </val>
        </ser>
        <ser>
          <idx val="2"/>
          <order val="2"/>
          <tx>
            <strRef>
              <f>'월별매출_대시보드'!E2</f>
            </strRef>
          </tx>
          <spPr>
            <a:ln>
              <a:prstDash val="solid"/>
            </a:ln>
          </spPr>
          <cat>
            <numRef>
              <f>'월별매출_대시보드'!$B$3:$B$14</f>
            </numRef>
          </cat>
          <val>
            <numRef>
              <f>'월별매출_대시보드'!$E$3:$E$14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매출 비중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32</row>
      <rowOff>0</rowOff>
    </from>
    <ext cx="61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64</row>
      <rowOff>0</rowOff>
    </from>
    <ext cx="61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/>
    <row r="2">
      <c r="B2" s="1" t="inlineStr">
        <is>
          <t>월 / 제품 (매출액)</t>
        </is>
      </c>
      <c r="C2" s="1" t="inlineStr">
        <is>
          <t>베이직</t>
        </is>
      </c>
      <c r="D2" s="1" t="inlineStr">
        <is>
          <t>프리미엄</t>
        </is>
      </c>
      <c r="E2" s="1" t="inlineStr">
        <is>
          <t>엔터프라이즈</t>
        </is>
      </c>
      <c r="F2" s="1" t="inlineStr">
        <is>
          <t>합계</t>
        </is>
      </c>
      <c r="H2" s="1" t="inlineStr">
        <is>
          <t>월</t>
        </is>
      </c>
      <c r="I2" s="1" t="inlineStr">
        <is>
          <t>제품</t>
        </is>
      </c>
      <c r="J2" s="1" t="inlineStr">
        <is>
          <t>판매수량</t>
        </is>
      </c>
      <c r="K2" s="1" t="inlineStr">
        <is>
          <t>매출액</t>
        </is>
      </c>
    </row>
    <row r="3">
      <c r="B3" s="2" t="inlineStr">
        <is>
          <t>1월</t>
        </is>
      </c>
      <c r="C3" s="3">
        <f>SUMIFS(K$3:K$38, H$3:H$38, $B3, I$3:I$38, C$2)</f>
        <v/>
      </c>
      <c r="D3" s="3">
        <f>SUMIFS(K$3:K$38, H$3:H$38, $B3, I$3:I$38, C$2)</f>
        <v/>
      </c>
      <c r="E3" s="3">
        <f>SUMIFS(K$3:K$38, H$3:H$38, $B3, I$3:I$38, C$2)</f>
        <v/>
      </c>
      <c r="F3" s="4">
        <f>SUM(C3:E3)</f>
        <v/>
      </c>
      <c r="H3" s="5" t="inlineStr">
        <is>
          <t>1월</t>
        </is>
      </c>
      <c r="I3" s="5" t="inlineStr">
        <is>
          <t>베이직</t>
        </is>
      </c>
      <c r="J3" s="6" t="n">
        <v>39</v>
      </c>
      <c r="K3" s="3" t="n">
        <v>386100</v>
      </c>
    </row>
    <row r="4">
      <c r="B4" s="7" t="inlineStr">
        <is>
          <t>2월</t>
        </is>
      </c>
      <c r="C4" s="8">
        <f>SUMIFS(K$3:K$38, H$3:H$38, $B4, I$3:I$38, C$2)</f>
        <v/>
      </c>
      <c r="D4" s="8">
        <f>SUMIFS(K$3:K$38, H$3:H$38, $B4, I$3:I$38, C$2)</f>
        <v/>
      </c>
      <c r="E4" s="8">
        <f>SUMIFS(K$3:K$38, H$3:H$38, $B4, I$3:I$38, C$2)</f>
        <v/>
      </c>
      <c r="F4" s="9">
        <f>SUM(C4:E4)</f>
        <v/>
      </c>
      <c r="H4" s="10" t="inlineStr">
        <is>
          <t>1월</t>
        </is>
      </c>
      <c r="I4" s="10" t="inlineStr">
        <is>
          <t>프리미엄</t>
        </is>
      </c>
      <c r="J4" s="11" t="n">
        <v>40</v>
      </c>
      <c r="K4" s="8" t="n">
        <v>1188000</v>
      </c>
    </row>
    <row r="5">
      <c r="B5" s="2" t="inlineStr">
        <is>
          <t>3월</t>
        </is>
      </c>
      <c r="C5" s="3">
        <f>SUMIFS(K$3:K$38, H$3:H$38, $B5, I$3:I$38, C$2)</f>
        <v/>
      </c>
      <c r="D5" s="3">
        <f>SUMIFS(K$3:K$38, H$3:H$38, $B5, I$3:I$38, C$2)</f>
        <v/>
      </c>
      <c r="E5" s="3">
        <f>SUMIFS(K$3:K$38, H$3:H$38, $B5, I$3:I$38, C$2)</f>
        <v/>
      </c>
      <c r="F5" s="4">
        <f>SUM(C5:E5)</f>
        <v/>
      </c>
      <c r="H5" s="5" t="inlineStr">
        <is>
          <t>1월</t>
        </is>
      </c>
      <c r="I5" s="5" t="inlineStr">
        <is>
          <t>엔터프라이즈</t>
        </is>
      </c>
      <c r="J5" s="6" t="n">
        <v>32</v>
      </c>
      <c r="K5" s="3" t="n">
        <v>3168000</v>
      </c>
    </row>
    <row r="6">
      <c r="B6" s="7" t="inlineStr">
        <is>
          <t>4월</t>
        </is>
      </c>
      <c r="C6" s="8">
        <f>SUMIFS(K$3:K$38, H$3:H$38, $B6, I$3:I$38, C$2)</f>
        <v/>
      </c>
      <c r="D6" s="8">
        <f>SUMIFS(K$3:K$38, H$3:H$38, $B6, I$3:I$38, C$2)</f>
        <v/>
      </c>
      <c r="E6" s="8">
        <f>SUMIFS(K$3:K$38, H$3:H$38, $B6, I$3:I$38, C$2)</f>
        <v/>
      </c>
      <c r="F6" s="9">
        <f>SUM(C6:E6)</f>
        <v/>
      </c>
      <c r="H6" s="10" t="inlineStr">
        <is>
          <t>2월</t>
        </is>
      </c>
      <c r="I6" s="10" t="inlineStr">
        <is>
          <t>베이직</t>
        </is>
      </c>
      <c r="J6" s="11" t="n">
        <v>60</v>
      </c>
      <c r="K6" s="8" t="n">
        <v>594000</v>
      </c>
    </row>
    <row r="7">
      <c r="B7" s="2" t="inlineStr">
        <is>
          <t>5월</t>
        </is>
      </c>
      <c r="C7" s="3">
        <f>SUMIFS(K$3:K$38, H$3:H$38, $B7, I$3:I$38, C$2)</f>
        <v/>
      </c>
      <c r="D7" s="3">
        <f>SUMIFS(K$3:K$38, H$3:H$38, $B7, I$3:I$38, C$2)</f>
        <v/>
      </c>
      <c r="E7" s="3">
        <f>SUMIFS(K$3:K$38, H$3:H$38, $B7, I$3:I$38, C$2)</f>
        <v/>
      </c>
      <c r="F7" s="4">
        <f>SUM(C7:E7)</f>
        <v/>
      </c>
      <c r="H7" s="5" t="inlineStr">
        <is>
          <t>2월</t>
        </is>
      </c>
      <c r="I7" s="5" t="inlineStr">
        <is>
          <t>프리미엄</t>
        </is>
      </c>
      <c r="J7" s="6" t="n">
        <v>56</v>
      </c>
      <c r="K7" s="3" t="n">
        <v>1663200</v>
      </c>
    </row>
    <row r="8">
      <c r="B8" s="7" t="inlineStr">
        <is>
          <t>6월</t>
        </is>
      </c>
      <c r="C8" s="8">
        <f>SUMIFS(K$3:K$38, H$3:H$38, $B8, I$3:I$38, C$2)</f>
        <v/>
      </c>
      <c r="D8" s="8">
        <f>SUMIFS(K$3:K$38, H$3:H$38, $B8, I$3:I$38, C$2)</f>
        <v/>
      </c>
      <c r="E8" s="8">
        <f>SUMIFS(K$3:K$38, H$3:H$38, $B8, I$3:I$38, C$2)</f>
        <v/>
      </c>
      <c r="F8" s="9">
        <f>SUM(C8:E8)</f>
        <v/>
      </c>
      <c r="H8" s="10" t="inlineStr">
        <is>
          <t>2월</t>
        </is>
      </c>
      <c r="I8" s="10" t="inlineStr">
        <is>
          <t>엔터프라이즈</t>
        </is>
      </c>
      <c r="J8" s="11" t="n">
        <v>50</v>
      </c>
      <c r="K8" s="8" t="n">
        <v>4950000</v>
      </c>
    </row>
    <row r="9">
      <c r="B9" s="2" t="inlineStr">
        <is>
          <t>7월</t>
        </is>
      </c>
      <c r="C9" s="3">
        <f>SUMIFS(K$3:K$38, H$3:H$38, $B9, I$3:I$38, C$2)</f>
        <v/>
      </c>
      <c r="D9" s="3">
        <f>SUMIFS(K$3:K$38, H$3:H$38, $B9, I$3:I$38, C$2)</f>
        <v/>
      </c>
      <c r="E9" s="3">
        <f>SUMIFS(K$3:K$38, H$3:H$38, $B9, I$3:I$38, C$2)</f>
        <v/>
      </c>
      <c r="F9" s="4">
        <f>SUM(C9:E9)</f>
        <v/>
      </c>
      <c r="H9" s="5" t="inlineStr">
        <is>
          <t>3월</t>
        </is>
      </c>
      <c r="I9" s="5" t="inlineStr">
        <is>
          <t>베이직</t>
        </is>
      </c>
      <c r="J9" s="6" t="n">
        <v>15</v>
      </c>
      <c r="K9" s="3" t="n">
        <v>148500</v>
      </c>
    </row>
    <row r="10">
      <c r="B10" s="7" t="inlineStr">
        <is>
          <t>8월</t>
        </is>
      </c>
      <c r="C10" s="8">
        <f>SUMIFS(K$3:K$38, H$3:H$38, $B10, I$3:I$38, C$2)</f>
        <v/>
      </c>
      <c r="D10" s="8">
        <f>SUMIFS(K$3:K$38, H$3:H$38, $B10, I$3:I$38, C$2)</f>
        <v/>
      </c>
      <c r="E10" s="8">
        <f>SUMIFS(K$3:K$38, H$3:H$38, $B10, I$3:I$38, C$2)</f>
        <v/>
      </c>
      <c r="F10" s="9">
        <f>SUM(C10:E10)</f>
        <v/>
      </c>
      <c r="H10" s="10" t="inlineStr">
        <is>
          <t>3월</t>
        </is>
      </c>
      <c r="I10" s="10" t="inlineStr">
        <is>
          <t>프리미엄</t>
        </is>
      </c>
      <c r="J10" s="11" t="n">
        <v>45</v>
      </c>
      <c r="K10" s="8" t="n">
        <v>1336500</v>
      </c>
    </row>
    <row r="11">
      <c r="B11" s="2" t="inlineStr">
        <is>
          <t>9월</t>
        </is>
      </c>
      <c r="C11" s="3">
        <f>SUMIFS(K$3:K$38, H$3:H$38, $B11, I$3:I$38, C$2)</f>
        <v/>
      </c>
      <c r="D11" s="3">
        <f>SUMIFS(K$3:K$38, H$3:H$38, $B11, I$3:I$38, C$2)</f>
        <v/>
      </c>
      <c r="E11" s="3">
        <f>SUMIFS(K$3:K$38, H$3:H$38, $B11, I$3:I$38, C$2)</f>
        <v/>
      </c>
      <c r="F11" s="4">
        <f>SUM(C11:E11)</f>
        <v/>
      </c>
      <c r="H11" s="5" t="inlineStr">
        <is>
          <t>3월</t>
        </is>
      </c>
      <c r="I11" s="5" t="inlineStr">
        <is>
          <t>엔터프라이즈</t>
        </is>
      </c>
      <c r="J11" s="6" t="n">
        <v>6</v>
      </c>
      <c r="K11" s="3" t="n">
        <v>594000</v>
      </c>
    </row>
    <row r="12">
      <c r="B12" s="7" t="inlineStr">
        <is>
          <t>10월</t>
        </is>
      </c>
      <c r="C12" s="8">
        <f>SUMIFS(K$3:K$38, H$3:H$38, $B12, I$3:I$38, C$2)</f>
        <v/>
      </c>
      <c r="D12" s="8">
        <f>SUMIFS(K$3:K$38, H$3:H$38, $B12, I$3:I$38, C$2)</f>
        <v/>
      </c>
      <c r="E12" s="8">
        <f>SUMIFS(K$3:K$38, H$3:H$38, $B12, I$3:I$38, C$2)</f>
        <v/>
      </c>
      <c r="F12" s="9">
        <f>SUM(C12:E12)</f>
        <v/>
      </c>
      <c r="H12" s="10" t="inlineStr">
        <is>
          <t>4월</t>
        </is>
      </c>
      <c r="I12" s="10" t="inlineStr">
        <is>
          <t>베이직</t>
        </is>
      </c>
      <c r="J12" s="11" t="n">
        <v>57</v>
      </c>
      <c r="K12" s="8" t="n">
        <v>564300</v>
      </c>
    </row>
    <row r="13">
      <c r="B13" s="2" t="inlineStr">
        <is>
          <t>11월</t>
        </is>
      </c>
      <c r="C13" s="3">
        <f>SUMIFS(K$3:K$38, H$3:H$38, $B13, I$3:I$38, C$2)</f>
        <v/>
      </c>
      <c r="D13" s="3">
        <f>SUMIFS(K$3:K$38, H$3:H$38, $B13, I$3:I$38, C$2)</f>
        <v/>
      </c>
      <c r="E13" s="3">
        <f>SUMIFS(K$3:K$38, H$3:H$38, $B13, I$3:I$38, C$2)</f>
        <v/>
      </c>
      <c r="F13" s="4">
        <f>SUM(C13:E13)</f>
        <v/>
      </c>
      <c r="H13" s="5" t="inlineStr">
        <is>
          <t>4월</t>
        </is>
      </c>
      <c r="I13" s="5" t="inlineStr">
        <is>
          <t>프리미엄</t>
        </is>
      </c>
      <c r="J13" s="6" t="n">
        <v>20</v>
      </c>
      <c r="K13" s="3" t="n">
        <v>594000</v>
      </c>
    </row>
    <row r="14">
      <c r="B14" s="7" t="inlineStr">
        <is>
          <t>12월</t>
        </is>
      </c>
      <c r="C14" s="8">
        <f>SUMIFS(K$3:K$38, H$3:H$38, $B14, I$3:I$38, C$2)</f>
        <v/>
      </c>
      <c r="D14" s="8">
        <f>SUMIFS(K$3:K$38, H$3:H$38, $B14, I$3:I$38, C$2)</f>
        <v/>
      </c>
      <c r="E14" s="8">
        <f>SUMIFS(K$3:K$38, H$3:H$38, $B14, I$3:I$38, C$2)</f>
        <v/>
      </c>
      <c r="F14" s="9">
        <f>SUM(C14:E14)</f>
        <v/>
      </c>
      <c r="H14" s="10" t="inlineStr">
        <is>
          <t>4월</t>
        </is>
      </c>
      <c r="I14" s="10" t="inlineStr">
        <is>
          <t>엔터프라이즈</t>
        </is>
      </c>
      <c r="J14" s="11" t="n">
        <v>58</v>
      </c>
      <c r="K14" s="8" t="n">
        <v>5742000</v>
      </c>
    </row>
    <row r="15">
      <c r="B15" s="12" t="inlineStr">
        <is>
          <t>합계</t>
        </is>
      </c>
      <c r="C15" s="13">
        <f>SUM(C3:C14)</f>
        <v/>
      </c>
      <c r="D15" s="13">
        <f>SUM(D3:D14)</f>
        <v/>
      </c>
      <c r="E15" s="13">
        <f>SUM(E3:E14)</f>
        <v/>
      </c>
      <c r="F15" s="13">
        <f>SUM(F3:F14)</f>
        <v/>
      </c>
      <c r="H15" s="5" t="inlineStr">
        <is>
          <t>5월</t>
        </is>
      </c>
      <c r="I15" s="5" t="inlineStr">
        <is>
          <t>베이직</t>
        </is>
      </c>
      <c r="J15" s="6" t="n">
        <v>15</v>
      </c>
      <c r="K15" s="3" t="n">
        <v>148500</v>
      </c>
    </row>
    <row r="16">
      <c r="H16" s="10" t="inlineStr">
        <is>
          <t>5월</t>
        </is>
      </c>
      <c r="I16" s="10" t="inlineStr">
        <is>
          <t>프리미엄</t>
        </is>
      </c>
      <c r="J16" s="11" t="n">
        <v>40</v>
      </c>
      <c r="K16" s="8" t="n">
        <v>1188000</v>
      </c>
    </row>
    <row r="17">
      <c r="H17" s="5" t="inlineStr">
        <is>
          <t>5월</t>
        </is>
      </c>
      <c r="I17" s="5" t="inlineStr">
        <is>
          <t>엔터프라이즈</t>
        </is>
      </c>
      <c r="J17" s="6" t="n">
        <v>36</v>
      </c>
      <c r="K17" s="3" t="n">
        <v>3564000</v>
      </c>
    </row>
    <row r="18">
      <c r="H18" s="10" t="inlineStr">
        <is>
          <t>6월</t>
        </is>
      </c>
      <c r="I18" s="10" t="inlineStr">
        <is>
          <t>베이직</t>
        </is>
      </c>
      <c r="J18" s="11" t="n">
        <v>53</v>
      </c>
      <c r="K18" s="8" t="n">
        <v>524700</v>
      </c>
    </row>
    <row r="19">
      <c r="H19" s="5" t="inlineStr">
        <is>
          <t>6월</t>
        </is>
      </c>
      <c r="I19" s="5" t="inlineStr">
        <is>
          <t>프리미엄</t>
        </is>
      </c>
      <c r="J19" s="6" t="n">
        <v>39</v>
      </c>
      <c r="K19" s="3" t="n">
        <v>1158300</v>
      </c>
    </row>
    <row r="20">
      <c r="H20" s="10" t="inlineStr">
        <is>
          <t>6월</t>
        </is>
      </c>
      <c r="I20" s="10" t="inlineStr">
        <is>
          <t>엔터프라이즈</t>
        </is>
      </c>
      <c r="J20" s="11" t="n">
        <v>14</v>
      </c>
      <c r="K20" s="8" t="n">
        <v>1386000</v>
      </c>
    </row>
    <row r="21">
      <c r="H21" s="5" t="inlineStr">
        <is>
          <t>7월</t>
        </is>
      </c>
      <c r="I21" s="5" t="inlineStr">
        <is>
          <t>베이직</t>
        </is>
      </c>
      <c r="J21" s="6" t="n">
        <v>21</v>
      </c>
      <c r="K21" s="3" t="n">
        <v>207900</v>
      </c>
    </row>
    <row r="22">
      <c r="H22" s="10" t="inlineStr">
        <is>
          <t>7월</t>
        </is>
      </c>
      <c r="I22" s="10" t="inlineStr">
        <is>
          <t>프리미엄</t>
        </is>
      </c>
      <c r="J22" s="11" t="n">
        <v>59</v>
      </c>
      <c r="K22" s="8" t="n">
        <v>1752300</v>
      </c>
    </row>
    <row r="23">
      <c r="H23" s="5" t="inlineStr">
        <is>
          <t>7월</t>
        </is>
      </c>
      <c r="I23" s="5" t="inlineStr">
        <is>
          <t>엔터프라이즈</t>
        </is>
      </c>
      <c r="J23" s="6" t="n">
        <v>40</v>
      </c>
      <c r="K23" s="3" t="n">
        <v>3960000</v>
      </c>
    </row>
    <row r="24">
      <c r="H24" s="10" t="inlineStr">
        <is>
          <t>8월</t>
        </is>
      </c>
      <c r="I24" s="10" t="inlineStr">
        <is>
          <t>베이직</t>
        </is>
      </c>
      <c r="J24" s="11" t="n">
        <v>24</v>
      </c>
      <c r="K24" s="8" t="n">
        <v>237600</v>
      </c>
    </row>
    <row r="25">
      <c r="H25" s="5" t="inlineStr">
        <is>
          <t>8월</t>
        </is>
      </c>
      <c r="I25" s="5" t="inlineStr">
        <is>
          <t>프리미엄</t>
        </is>
      </c>
      <c r="J25" s="6" t="n">
        <v>11</v>
      </c>
      <c r="K25" s="3" t="n">
        <v>326700</v>
      </c>
    </row>
    <row r="26">
      <c r="H26" s="10" t="inlineStr">
        <is>
          <t>8월</t>
        </is>
      </c>
      <c r="I26" s="10" t="inlineStr">
        <is>
          <t>엔터프라이즈</t>
        </is>
      </c>
      <c r="J26" s="11" t="n">
        <v>31</v>
      </c>
      <c r="K26" s="8" t="n">
        <v>3069000</v>
      </c>
    </row>
    <row r="27">
      <c r="H27" s="5" t="inlineStr">
        <is>
          <t>9월</t>
        </is>
      </c>
      <c r="I27" s="5" t="inlineStr">
        <is>
          <t>베이직</t>
        </is>
      </c>
      <c r="J27" s="6" t="n">
        <v>11</v>
      </c>
      <c r="K27" s="3" t="n">
        <v>108900</v>
      </c>
    </row>
    <row r="28">
      <c r="H28" s="10" t="inlineStr">
        <is>
          <t>9월</t>
        </is>
      </c>
      <c r="I28" s="10" t="inlineStr">
        <is>
          <t>프리미엄</t>
        </is>
      </c>
      <c r="J28" s="11" t="n">
        <v>17</v>
      </c>
      <c r="K28" s="8" t="n">
        <v>504900</v>
      </c>
    </row>
    <row r="29">
      <c r="H29" s="5" t="inlineStr">
        <is>
          <t>9월</t>
        </is>
      </c>
      <c r="I29" s="5" t="inlineStr">
        <is>
          <t>엔터프라이즈</t>
        </is>
      </c>
      <c r="J29" s="6" t="n">
        <v>22</v>
      </c>
      <c r="K29" s="3" t="n">
        <v>2178000</v>
      </c>
    </row>
    <row r="30">
      <c r="H30" s="10" t="inlineStr">
        <is>
          <t>10월</t>
        </is>
      </c>
      <c r="I30" s="10" t="inlineStr">
        <is>
          <t>베이직</t>
        </is>
      </c>
      <c r="J30" s="11" t="n">
        <v>13</v>
      </c>
      <c r="K30" s="8" t="n">
        <v>128700</v>
      </c>
    </row>
    <row r="31">
      <c r="H31" s="5" t="inlineStr">
        <is>
          <t>10월</t>
        </is>
      </c>
      <c r="I31" s="5" t="inlineStr">
        <is>
          <t>프리미엄</t>
        </is>
      </c>
      <c r="J31" s="6" t="n">
        <v>48</v>
      </c>
      <c r="K31" s="3" t="n">
        <v>1425600</v>
      </c>
    </row>
    <row r="32">
      <c r="H32" s="10" t="inlineStr">
        <is>
          <t>10월</t>
        </is>
      </c>
      <c r="I32" s="10" t="inlineStr">
        <is>
          <t>엔터프라이즈</t>
        </is>
      </c>
      <c r="J32" s="11" t="n">
        <v>7</v>
      </c>
      <c r="K32" s="8" t="n">
        <v>693000</v>
      </c>
    </row>
    <row r="33">
      <c r="H33" s="5" t="inlineStr">
        <is>
          <t>11월</t>
        </is>
      </c>
      <c r="I33" s="5" t="inlineStr">
        <is>
          <t>베이직</t>
        </is>
      </c>
      <c r="J33" s="6" t="n">
        <v>14</v>
      </c>
      <c r="K33" s="3" t="n">
        <v>138600</v>
      </c>
    </row>
    <row r="34">
      <c r="H34" s="10" t="inlineStr">
        <is>
          <t>11월</t>
        </is>
      </c>
      <c r="I34" s="10" t="inlineStr">
        <is>
          <t>프리미엄</t>
        </is>
      </c>
      <c r="J34" s="11" t="n">
        <v>20</v>
      </c>
      <c r="K34" s="8" t="n">
        <v>594000</v>
      </c>
    </row>
    <row r="35">
      <c r="H35" s="5" t="inlineStr">
        <is>
          <t>11월</t>
        </is>
      </c>
      <c r="I35" s="5" t="inlineStr">
        <is>
          <t>엔터프라이즈</t>
        </is>
      </c>
      <c r="J35" s="6" t="n">
        <v>9</v>
      </c>
      <c r="K35" s="3" t="n">
        <v>891000</v>
      </c>
    </row>
    <row r="36">
      <c r="H36" s="10" t="inlineStr">
        <is>
          <t>12월</t>
        </is>
      </c>
      <c r="I36" s="10" t="inlineStr">
        <is>
          <t>베이직</t>
        </is>
      </c>
      <c r="J36" s="11" t="n">
        <v>22</v>
      </c>
      <c r="K36" s="8" t="n">
        <v>217800</v>
      </c>
    </row>
    <row r="37">
      <c r="H37" s="5" t="inlineStr">
        <is>
          <t>12월</t>
        </is>
      </c>
      <c r="I37" s="5" t="inlineStr">
        <is>
          <t>프리미엄</t>
        </is>
      </c>
      <c r="J37" s="6" t="n">
        <v>55</v>
      </c>
      <c r="K37" s="3" t="n">
        <v>1633500</v>
      </c>
    </row>
    <row r="38">
      <c r="H38" s="10" t="inlineStr">
        <is>
          <t>12월</t>
        </is>
      </c>
      <c r="I38" s="10" t="inlineStr">
        <is>
          <t>엔터프라이즈</t>
        </is>
      </c>
      <c r="J38" s="11" t="n">
        <v>19</v>
      </c>
      <c r="K38" s="8" t="n">
        <v>1881000</v>
      </c>
    </row>
    <row r="39"/>
    <row r="40"/>
    <row r="41"/>
    <row r="42"/>
    <row r="43"/>
    <row r="44"/>
    <row r="45"/>
    <row r="46"/>
    <row r="47"/>
    <row r="48"/>
    <row r="49"/>
    <row r="50">
      <c r="B50" s="1" t="inlineStr">
        <is>
          <t>월 / 제품 (수량)</t>
        </is>
      </c>
      <c r="C50" s="1" t="inlineStr">
        <is>
          <t>베이직</t>
        </is>
      </c>
      <c r="D50" s="1" t="inlineStr">
        <is>
          <t>프리미엄</t>
        </is>
      </c>
      <c r="E50" s="1" t="inlineStr">
        <is>
          <t>엔터프라이즈</t>
        </is>
      </c>
      <c r="F50" s="1" t="inlineStr">
        <is>
          <t>합계</t>
        </is>
      </c>
    </row>
    <row r="51">
      <c r="B51" s="2" t="inlineStr">
        <is>
          <t>1월</t>
        </is>
      </c>
      <c r="C51" s="6">
        <f>SUMIFS(J$3:J$38, H$3:H$38, $B51, I$3:I$38, C$50)</f>
        <v/>
      </c>
      <c r="D51" s="6">
        <f>SUMIFS(J$3:J$38, H$3:H$38, $B51, I$3:I$38, C$50)</f>
        <v/>
      </c>
      <c r="E51" s="6">
        <f>SUMIFS(J$3:J$38, H$3:H$38, $B51, I$3:I$38, C$50)</f>
        <v/>
      </c>
      <c r="F51" s="14">
        <f>SUM(C51:E51)</f>
        <v/>
      </c>
    </row>
    <row r="52">
      <c r="B52" s="7" t="inlineStr">
        <is>
          <t>2월</t>
        </is>
      </c>
      <c r="C52" s="11">
        <f>SUMIFS(J$3:J$38, H$3:H$38, $B52, I$3:I$38, C$50)</f>
        <v/>
      </c>
      <c r="D52" s="11">
        <f>SUMIFS(J$3:J$38, H$3:H$38, $B52, I$3:I$38, C$50)</f>
        <v/>
      </c>
      <c r="E52" s="11">
        <f>SUMIFS(J$3:J$38, H$3:H$38, $B52, I$3:I$38, C$50)</f>
        <v/>
      </c>
      <c r="F52" s="15">
        <f>SUM(C52:E52)</f>
        <v/>
      </c>
    </row>
    <row r="53">
      <c r="B53" s="2" t="inlineStr">
        <is>
          <t>3월</t>
        </is>
      </c>
      <c r="C53" s="6">
        <f>SUMIFS(J$3:J$38, H$3:H$38, $B53, I$3:I$38, C$50)</f>
        <v/>
      </c>
      <c r="D53" s="6">
        <f>SUMIFS(J$3:J$38, H$3:H$38, $B53, I$3:I$38, C$50)</f>
        <v/>
      </c>
      <c r="E53" s="6">
        <f>SUMIFS(J$3:J$38, H$3:H$38, $B53, I$3:I$38, C$50)</f>
        <v/>
      </c>
      <c r="F53" s="14">
        <f>SUM(C53:E53)</f>
        <v/>
      </c>
    </row>
    <row r="54">
      <c r="B54" s="7" t="inlineStr">
        <is>
          <t>4월</t>
        </is>
      </c>
      <c r="C54" s="11">
        <f>SUMIFS(J$3:J$38, H$3:H$38, $B54, I$3:I$38, C$50)</f>
        <v/>
      </c>
      <c r="D54" s="11">
        <f>SUMIFS(J$3:J$38, H$3:H$38, $B54, I$3:I$38, C$50)</f>
        <v/>
      </c>
      <c r="E54" s="11">
        <f>SUMIFS(J$3:J$38, H$3:H$38, $B54, I$3:I$38, C$50)</f>
        <v/>
      </c>
      <c r="F54" s="15">
        <f>SUM(C54:E54)</f>
        <v/>
      </c>
    </row>
    <row r="55">
      <c r="B55" s="2" t="inlineStr">
        <is>
          <t>5월</t>
        </is>
      </c>
      <c r="C55" s="6">
        <f>SUMIFS(J$3:J$38, H$3:H$38, $B55, I$3:I$38, C$50)</f>
        <v/>
      </c>
      <c r="D55" s="6">
        <f>SUMIFS(J$3:J$38, H$3:H$38, $B55, I$3:I$38, C$50)</f>
        <v/>
      </c>
      <c r="E55" s="6">
        <f>SUMIFS(J$3:J$38, H$3:H$38, $B55, I$3:I$38, C$50)</f>
        <v/>
      </c>
      <c r="F55" s="14">
        <f>SUM(C55:E55)</f>
        <v/>
      </c>
    </row>
    <row r="56">
      <c r="B56" s="7" t="inlineStr">
        <is>
          <t>6월</t>
        </is>
      </c>
      <c r="C56" s="11">
        <f>SUMIFS(J$3:J$38, H$3:H$38, $B56, I$3:I$38, C$50)</f>
        <v/>
      </c>
      <c r="D56" s="11">
        <f>SUMIFS(J$3:J$38, H$3:H$38, $B56, I$3:I$38, C$50)</f>
        <v/>
      </c>
      <c r="E56" s="11">
        <f>SUMIFS(J$3:J$38, H$3:H$38, $B56, I$3:I$38, C$50)</f>
        <v/>
      </c>
      <c r="F56" s="15">
        <f>SUM(C56:E56)</f>
        <v/>
      </c>
    </row>
    <row r="57">
      <c r="B57" s="2" t="inlineStr">
        <is>
          <t>7월</t>
        </is>
      </c>
      <c r="C57" s="6">
        <f>SUMIFS(J$3:J$38, H$3:H$38, $B57, I$3:I$38, C$50)</f>
        <v/>
      </c>
      <c r="D57" s="6">
        <f>SUMIFS(J$3:J$38, H$3:H$38, $B57, I$3:I$38, C$50)</f>
        <v/>
      </c>
      <c r="E57" s="6">
        <f>SUMIFS(J$3:J$38, H$3:H$38, $B57, I$3:I$38, C$50)</f>
        <v/>
      </c>
      <c r="F57" s="14">
        <f>SUM(C57:E57)</f>
        <v/>
      </c>
    </row>
    <row r="58">
      <c r="B58" s="7" t="inlineStr">
        <is>
          <t>8월</t>
        </is>
      </c>
      <c r="C58" s="11">
        <f>SUMIFS(J$3:J$38, H$3:H$38, $B58, I$3:I$38, C$50)</f>
        <v/>
      </c>
      <c r="D58" s="11">
        <f>SUMIFS(J$3:J$38, H$3:H$38, $B58, I$3:I$38, C$50)</f>
        <v/>
      </c>
      <c r="E58" s="11">
        <f>SUMIFS(J$3:J$38, H$3:H$38, $B58, I$3:I$38, C$50)</f>
        <v/>
      </c>
      <c r="F58" s="15">
        <f>SUM(C58:E58)</f>
        <v/>
      </c>
    </row>
    <row r="59">
      <c r="B59" s="2" t="inlineStr">
        <is>
          <t>9월</t>
        </is>
      </c>
      <c r="C59" s="6">
        <f>SUMIFS(J$3:J$38, H$3:H$38, $B59, I$3:I$38, C$50)</f>
        <v/>
      </c>
      <c r="D59" s="6">
        <f>SUMIFS(J$3:J$38, H$3:H$38, $B59, I$3:I$38, C$50)</f>
        <v/>
      </c>
      <c r="E59" s="6">
        <f>SUMIFS(J$3:J$38, H$3:H$38, $B59, I$3:I$38, C$50)</f>
        <v/>
      </c>
      <c r="F59" s="14">
        <f>SUM(C59:E59)</f>
        <v/>
      </c>
    </row>
    <row r="60">
      <c r="B60" s="7" t="inlineStr">
        <is>
          <t>10월</t>
        </is>
      </c>
      <c r="C60" s="11">
        <f>SUMIFS(J$3:J$38, H$3:H$38, $B60, I$3:I$38, C$50)</f>
        <v/>
      </c>
      <c r="D60" s="11">
        <f>SUMIFS(J$3:J$38, H$3:H$38, $B60, I$3:I$38, C$50)</f>
        <v/>
      </c>
      <c r="E60" s="11">
        <f>SUMIFS(J$3:J$38, H$3:H$38, $B60, I$3:I$38, C$50)</f>
        <v/>
      </c>
      <c r="F60" s="15">
        <f>SUM(C60:E60)</f>
        <v/>
      </c>
    </row>
    <row r="61">
      <c r="B61" s="2" t="inlineStr">
        <is>
          <t>11월</t>
        </is>
      </c>
      <c r="C61" s="6">
        <f>SUMIFS(J$3:J$38, H$3:H$38, $B61, I$3:I$38, C$50)</f>
        <v/>
      </c>
      <c r="D61" s="6">
        <f>SUMIFS(J$3:J$38, H$3:H$38, $B61, I$3:I$38, C$50)</f>
        <v/>
      </c>
      <c r="E61" s="6">
        <f>SUMIFS(J$3:J$38, H$3:H$38, $B61, I$3:I$38, C$50)</f>
        <v/>
      </c>
      <c r="F61" s="14">
        <f>SUM(C61:E61)</f>
        <v/>
      </c>
    </row>
    <row r="62">
      <c r="B62" s="7" t="inlineStr">
        <is>
          <t>12월</t>
        </is>
      </c>
      <c r="C62" s="11">
        <f>SUMIFS(J$3:J$38, H$3:H$38, $B62, I$3:I$38, C$50)</f>
        <v/>
      </c>
      <c r="D62" s="11">
        <f>SUMIFS(J$3:J$38, H$3:H$38, $B62, I$3:I$38, C$50)</f>
        <v/>
      </c>
      <c r="E62" s="11">
        <f>SUMIFS(J$3:J$38, H$3:H$38, $B62, I$3:I$38, C$50)</f>
        <v/>
      </c>
      <c r="F62" s="15">
        <f>SUM(C62:E62)</f>
        <v/>
      </c>
    </row>
    <row r="63">
      <c r="B63" s="12" t="inlineStr">
        <is>
          <t>합계</t>
        </is>
      </c>
      <c r="C63" s="16">
        <f>SUM(C51:C62)</f>
        <v/>
      </c>
      <c r="D63" s="16">
        <f>SUM(D51:D62)</f>
        <v/>
      </c>
      <c r="E63" s="16">
        <f>SUM(E51:E62)</f>
        <v/>
      </c>
      <c r="F63" s="16">
        <f>SUM(F51:F62)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2026-06-17T02:45:21Z</dcterms:created>
  <dcterms:modified xsi:type="dcterms:W3CDTF">2026-06-17T02:45:21Z</dcterms:modified>
</cp:coreProperties>
</file>